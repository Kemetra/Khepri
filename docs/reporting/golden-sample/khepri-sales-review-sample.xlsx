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Executive Summary (English)" sheetId="1" r:id="rId1"/>
    <sheet name="Sales Performance (English)" sheetId="2" r:id="rId2"/>
    <sheet name="Period Comparison (English)" sheetId="3" r:id="rId3"/>
    <sheet name="Growth Drivers (English)" sheetId="4" r:id="rId4"/>
    <sheet name="Profitability (English)" sheetId="5" r:id="rId5"/>
    <sheet name="Discounts and Returns (English)" sheetId="6" r:id="rId6"/>
    <sheet name="Branch Performance (English)" sheetId="7" r:id="rId7"/>
    <sheet name="Data Limitations (English)" sheetId="8" r:id="rId8"/>
    <sheet name="الملخص التنفيذي (العربية)" sheetId="9" r:id="rId9"/>
    <sheet name="Chart Data (English)" sheetId="10" state="hidden" r:id="rId10"/>
    <sheet name="Audit Trail" sheetId="11" r:id="rId11"/>
    <sheet name="Provenance" sheetId="12" r:id="rId12"/>
  </sheets>
  <calcPr calcId="124519" fullCalcOnLoad="1"/>
</workbook>
</file>

<file path=xl/sharedStrings.xml><?xml version="1.0" encoding="utf-8"?>
<sst xmlns="http://schemas.openxmlformats.org/spreadsheetml/2006/main" count="333" uniqueCount="236">
  <si>
    <t>Sales Review</t>
  </si>
  <si>
    <t>Al Rahma Trading Co.  |  January - July 2026  |  six branches</t>
  </si>
  <si>
    <t>Revenue grew for the fourth consecutive month, but the growth came entirely from higher prices rather than from selling more. Units sold fell 2.1% while revenue rose 4.7%. Gross margin slipped from 31.4% to 30.6% because cost per unit rose faster than price. Three of six branches produce 71% of all sales.</t>
  </si>
  <si>
    <t>Total revenue</t>
  </si>
  <si>
    <t>2,512,000 EGP</t>
  </si>
  <si>
    <t>Up 4.7% against the previous period (+113,000 EGP)</t>
  </si>
  <si>
    <t>Gross profit</t>
  </si>
  <si>
    <t>768,700 EGP</t>
  </si>
  <si>
    <t>Up 2.1%; margin 30.6%, down 0.8 points</t>
  </si>
  <si>
    <t>Headline figures</t>
  </si>
  <si>
    <t>Figure</t>
  </si>
  <si>
    <t>This period</t>
  </si>
  <si>
    <t>Change</t>
  </si>
  <si>
    <t>Revenue</t>
  </si>
  <si>
    <t>Units sold</t>
  </si>
  <si>
    <t>Number of sales</t>
  </si>
  <si>
    <t>Average sale value</t>
  </si>
  <si>
    <t>Average selling price</t>
  </si>
  <si>
    <t>Cost of goods sold</t>
  </si>
  <si>
    <t>Discounts given</t>
  </si>
  <si>
    <t>Returns</t>
  </si>
  <si>
    <t>Gross margin</t>
  </si>
  <si>
    <t>down 0.8 points</t>
  </si>
  <si>
    <t>What this means</t>
  </si>
  <si>
    <t>You are holding revenue up with price, not demand. That works while customers accept the increases - but units, discounts and returns are all moving the wrong way at the same time, which is the pattern that usually appears one or two periods before price resistance shows up in revenue.</t>
  </si>
  <si>
    <t>This report was produced by automated analysis of a customer-supplied file. Every figure is traceable to that file. Analyses the supplied data could not support are listed as unavailable rather than estimated.</t>
  </si>
  <si>
    <t>Sales Performance</t>
  </si>
  <si>
    <t>Revenue rose in every month except April. July was the strongest month - and the month with the fewest units sold.</t>
  </si>
  <si>
    <t>Month</t>
  </si>
  <si>
    <t>Units</t>
  </si>
  <si>
    <t>Sales</t>
  </si>
  <si>
    <t>Average sale</t>
  </si>
  <si>
    <t>Average price</t>
  </si>
  <si>
    <t>January</t>
  </si>
  <si>
    <t>February</t>
  </si>
  <si>
    <t>March</t>
  </si>
  <si>
    <t>April</t>
  </si>
  <si>
    <t>May</t>
  </si>
  <si>
    <t>June</t>
  </si>
  <si>
    <t>July</t>
  </si>
  <si>
    <t>Period</t>
  </si>
  <si>
    <t>The turn happened in May</t>
  </si>
  <si>
    <t>Until April, revenue and units moved together. From May they separate: revenue keeps climbing while units fall. Everything after that point is price doing the work.</t>
  </si>
  <si>
    <t>Period Comparison</t>
  </si>
  <si>
    <t>Against the seven months immediately before this period.</t>
  </si>
  <si>
    <t>Previous period</t>
  </si>
  <si>
    <t>Assessment</t>
  </si>
  <si>
    <t>good</t>
  </si>
  <si>
    <t>watch</t>
  </si>
  <si>
    <t>act</t>
  </si>
  <si>
    <t>The one line to act on</t>
  </si>
  <si>
    <t>Cost of goods sold rose 5.9% while revenue rose 4.7%. Cost is growing faster than revenue, which is the whole of the margin decline. Price rises of 6.9% were not enough to cover it.</t>
  </si>
  <si>
    <t>Comparison with the same period last year</t>
  </si>
  <si>
    <t>Not available. Your file covers seven months, so the same period one year earlier is not inside it. Everything above compares against the seven months immediately before and is unaffected. To add a year-on-year comparison, export a file that also covers January to July of last year.</t>
  </si>
  <si>
    <t>Growth Drivers</t>
  </si>
  <si>
    <t>All of the revenue growth came from price; none from volume.</t>
  </si>
  <si>
    <t>Driver</t>
  </si>
  <si>
    <t>Effect on revenue</t>
  </si>
  <si>
    <t>Effect of price changes</t>
  </si>
  <si>
    <t>Effect of volume changes</t>
  </si>
  <si>
    <t>Total revenue change</t>
  </si>
  <si>
    <t>Price and volume effects add exactly to the total revenue change. When they do not, this analysis is withheld rather than shown.</t>
  </si>
  <si>
    <t>Read this with Profitability</t>
  </si>
  <si>
    <t>A 164,000 EGP price gain that yields only 15,400 EGP of extra gross profit means most of the price increase went to covering cost, not to margin. The growth is real; it is just not profitable growth.</t>
  </si>
  <si>
    <t>Profitability</t>
  </si>
  <si>
    <t>Gross profit rose 15,400 EGP on a revenue rise of 113,000 EGP. Margin fell every month of the period.</t>
  </si>
  <si>
    <t>Gross margin by month</t>
  </si>
  <si>
    <t>Discounts and Returns</t>
  </si>
  <si>
    <t>Both rose faster than revenue. Together they cost 209,200 EGP this period, up 32,000 EGP.</t>
  </si>
  <si>
    <t>Share of revenue</t>
  </si>
  <si>
    <t>Combined</t>
  </si>
  <si>
    <t>Discounting is rising alongside prices</t>
  </si>
  <si>
    <t>List prices rose 6.9% and discounts rose 18.4% in the same period. That combination usually means the price increase is being negotiated away at the counter - the increase is on the shelf but not in the till. Returns rising 9.2% points the same way.</t>
  </si>
  <si>
    <t>Branch and Category Performance</t>
  </si>
  <si>
    <t>Six branches. Two grew faster than the business; two shrank. Nasr City alone is 29.5% of revenue.</t>
  </si>
  <si>
    <t>Branch</t>
  </si>
  <si>
    <t>Share of sales</t>
  </si>
  <si>
    <t>Cumulative share</t>
  </si>
  <si>
    <t>Nasr City</t>
  </si>
  <si>
    <t>Maadi</t>
  </si>
  <si>
    <t>Heliopolis</t>
  </si>
  <si>
    <t>Giza</t>
  </si>
  <si>
    <t>Zamalek</t>
  </si>
  <si>
    <t>Dokki</t>
  </si>
  <si>
    <t>All branches</t>
  </si>
  <si>
    <t>Margin follows size, in order</t>
  </si>
  <si>
    <t>The branches rank identically by revenue and by margin - Nasr City is both the biggest and the most profitable, Dokki both the smallest and the least, with no exceptions in between. Your two shrinking branches are also your two thinnest. Whatever Nasr City and Maadi are doing is worth understanding before Dokki gets more support.</t>
  </si>
  <si>
    <t>Concentration risk</t>
  </si>
  <si>
    <t>Losing Nasr City would remove 29.5% of revenue and a disproportionate share of profit, since it also carries the highest margin. Concentration is not automatically bad - it often means one location is genuinely excellent - but it does mean the business has one point of failure rather than six.</t>
  </si>
  <si>
    <t>What this review does not cover</t>
  </si>
  <si>
    <t>Two analyses were unavailable. The rest of the review is unaffected.</t>
  </si>
  <si>
    <t>Analysis</t>
  </si>
  <si>
    <t>Why it is unavailable</t>
  </si>
  <si>
    <t>Rest of report</t>
  </si>
  <si>
    <t>How to make it available</t>
  </si>
  <si>
    <t>Basket size</t>
  </si>
  <si>
    <t>Your file has no receipt or invoice number, so there is no way to tell which rows belong to the same sale. Counting rows instead would overstate basket size wherever one sale spans several lines.</t>
  </si>
  <si>
    <t>Unaffected</t>
  </si>
  <si>
    <t>Export with the receipt number included.</t>
  </si>
  <si>
    <t>Same period last year</t>
  </si>
  <si>
    <t>Your file covers seven months, so the same period one year earlier is not inside it. The comparison shown is against the seven months immediately before.</t>
  </si>
  <si>
    <t>Export a file that also covers January to July of last year.</t>
  </si>
  <si>
    <t>Qualifications on figures that are shown</t>
  </si>
  <si>
    <t>Qualification</t>
  </si>
  <si>
    <t>Concentration curve</t>
  </si>
  <si>
    <t>The curve is drawn from 100 evenly spaced points across your full product range. The figures beside it use every row.</t>
  </si>
  <si>
    <t>مراجعة المبيعات</t>
  </si>
  <si>
    <t>شركة الرحمة للتجارة  |  يناير - يوليو 2026  |  ستة فروع</t>
  </si>
  <si>
    <t>ارتفعت الإيرادات للشهر الرابع على التوالي، لكن النمو جاء بالكامل من ارتفاع الأسعار وليس من زيادة الكميات المبيعة. انخفضت الوحدات المبيعة بنسبة 2.1% في حين ارتفعت الإيرادات بنسبة 4.7%. وتراجع هامش الربح الإجمالي من 31.4% إلى 30.6%، لأن تكلفة المبيعات ارتفعت بنسبة 5.9% وهي أسرع من ارتفاع الإيرادات.</t>
  </si>
  <si>
    <t>الأرقام الرئيسية</t>
  </si>
  <si>
    <t>الرقم</t>
  </si>
  <si>
    <t>الفترة الحالية</t>
  </si>
  <si>
    <t>التغير</t>
  </si>
  <si>
    <t>الإيرادات</t>
  </si>
  <si>
    <t>الوحدات المبيعة</t>
  </si>
  <si>
    <t>عدد المبيعات</t>
  </si>
  <si>
    <t>متوسط قيمة البيع</t>
  </si>
  <si>
    <t>متوسط سعر البيع</t>
  </si>
  <si>
    <t>تكلفة المبيعات</t>
  </si>
  <si>
    <t>إجمالي الربح</t>
  </si>
  <si>
    <t>الخصومات الممنوحة</t>
  </si>
  <si>
    <t>المرتجعات</t>
  </si>
  <si>
    <t>هامش الربح الإجمالي</t>
  </si>
  <si>
    <t>بانخفاض 0.8 نقطة</t>
  </si>
  <si>
    <t>تحليلان لم يتسنَّ إنتاجهما من الملف المُقدَّم: حجم سلة الشراء - لعدم وجود رقم إيصال - والمقارنة بنفس الفترة من العام الماضي. وما عدا ذلك في هذا التقرير غير متأثر بهما.</t>
  </si>
  <si>
    <t>month</t>
  </si>
  <si>
    <t>revenue</t>
  </si>
  <si>
    <t>driver</t>
  </si>
  <si>
    <t>effect</t>
  </si>
  <si>
    <t>Higher prices</t>
  </si>
  <si>
    <t>Lower volume</t>
  </si>
  <si>
    <t>Net change</t>
  </si>
  <si>
    <t>margin</t>
  </si>
  <si>
    <t>branch</t>
  </si>
  <si>
    <t>cumulative</t>
  </si>
  <si>
    <t>Audit Trail</t>
  </si>
  <si>
    <t>Governed identifiers for every analysis and figure in this report. Delivered on request; generated always.</t>
  </si>
  <si>
    <t>Section states</t>
  </si>
  <si>
    <t>section_id</t>
  </si>
  <si>
    <t>state</t>
  </si>
  <si>
    <t>reason</t>
  </si>
  <si>
    <t>overview</t>
  </si>
  <si>
    <t>present</t>
  </si>
  <si>
    <t>comparison</t>
  </si>
  <si>
    <t>concentration</t>
  </si>
  <si>
    <t>growth</t>
  </si>
  <si>
    <t>basket</t>
  </si>
  <si>
    <t>refused</t>
  </si>
  <si>
    <t>transaction_identifier_absent</t>
  </si>
  <si>
    <t>Figures</t>
  </si>
  <si>
    <t>figure_id</t>
  </si>
  <si>
    <t>metric</t>
  </si>
  <si>
    <t>kind</t>
  </si>
  <si>
    <t>unit_kind</t>
  </si>
  <si>
    <t>value</t>
  </si>
  <si>
    <t>citation_id</t>
  </si>
  <si>
    <t>fig-001</t>
  </si>
  <si>
    <t>total</t>
  </si>
  <si>
    <t>currency</t>
  </si>
  <si>
    <t>2512000.00</t>
  </si>
  <si>
    <t>cit-a41</t>
  </si>
  <si>
    <t>fig-002</t>
  </si>
  <si>
    <t>units</t>
  </si>
  <si>
    <t>count</t>
  </si>
  <si>
    <t>48310</t>
  </si>
  <si>
    <t>cit-a42</t>
  </si>
  <si>
    <t>fig-003</t>
  </si>
  <si>
    <t>transactions</t>
  </si>
  <si>
    <t>15204</t>
  </si>
  <si>
    <t>cit-a43</t>
  </si>
  <si>
    <t>fig-004</t>
  </si>
  <si>
    <t>average_order_value</t>
  </si>
  <si>
    <t>ratio</t>
  </si>
  <si>
    <t>165.22</t>
  </si>
  <si>
    <t>cit-a44</t>
  </si>
  <si>
    <t>fig-005</t>
  </si>
  <si>
    <t>average_selling_price</t>
  </si>
  <si>
    <t>51.99</t>
  </si>
  <si>
    <t>cit-a45</t>
  </si>
  <si>
    <t>fig-006</t>
  </si>
  <si>
    <t>cost</t>
  </si>
  <si>
    <t>1743300.00</t>
  </si>
  <si>
    <t>cit-a46</t>
  </si>
  <si>
    <t>fig-007</t>
  </si>
  <si>
    <t>gross_profit</t>
  </si>
  <si>
    <t>768700.00</t>
  </si>
  <si>
    <t>cit-a47</t>
  </si>
  <si>
    <t>fig-008</t>
  </si>
  <si>
    <t>gross_margin</t>
  </si>
  <si>
    <t>proportion</t>
  </si>
  <si>
    <t>0.3060</t>
  </si>
  <si>
    <t>cit-a48</t>
  </si>
  <si>
    <t>fig-009</t>
  </si>
  <si>
    <t>discount</t>
  </si>
  <si>
    <t>147300.00</t>
  </si>
  <si>
    <t>cit-a49</t>
  </si>
  <si>
    <t>fig-010</t>
  </si>
  <si>
    <t>returns</t>
  </si>
  <si>
    <t>61900.00</t>
  </si>
  <si>
    <t>cit-a50</t>
  </si>
  <si>
    <t>fig-011</t>
  </si>
  <si>
    <t>growth_price_effect</t>
  </si>
  <si>
    <t>164000.00</t>
  </si>
  <si>
    <t>cit-a51</t>
  </si>
  <si>
    <t>fig-012</t>
  </si>
  <si>
    <t>growth_volume_effect</t>
  </si>
  <si>
    <t>-51000.00</t>
  </si>
  <si>
    <t>cit-a52</t>
  </si>
  <si>
    <t>Caveat codes</t>
  </si>
  <si>
    <t>code</t>
  </si>
  <si>
    <t>section</t>
  </si>
  <si>
    <t>customer wording</t>
  </si>
  <si>
    <t>curve_points_sampled</t>
  </si>
  <si>
    <t>The curve is drawn from 100 evenly spaced points across your full product range.</t>
  </si>
  <si>
    <t>Provenance and versions</t>
  </si>
  <si>
    <t>What this report was produced from, and by which governed versions. Written once, in English - it holds nothing translatable.</t>
  </si>
  <si>
    <t>field</t>
  </si>
  <si>
    <t>bundle_id</t>
  </si>
  <si>
    <t>sha256:4a7c2f9138be5104c7d2ab99e6f0741c8b3d55e2</t>
  </si>
  <si>
    <t>bundle_version</t>
  </si>
  <si>
    <t>2</t>
  </si>
  <si>
    <t>report_reference</t>
  </si>
  <si>
    <t>4A7C-2F91</t>
  </si>
  <si>
    <t>fact_package_digest</t>
  </si>
  <si>
    <t>sha256:9e11c407d3ba6f28104a7cc5be3319d0</t>
  </si>
  <si>
    <t>formula_version</t>
  </si>
  <si>
    <t>rra004.formulas.v3</t>
  </si>
  <si>
    <t>html_surface_version</t>
  </si>
  <si>
    <t>rra006.html.v1</t>
  </si>
  <si>
    <t>pdf_surface_version</t>
  </si>
  <si>
    <t>rra006.pdf.v1</t>
  </si>
  <si>
    <t>excel_surface_version</t>
  </si>
  <si>
    <t>rra006.xlsx.v1</t>
  </si>
  <si>
    <t>row_count</t>
  </si>
  <si>
    <t>source_file_digest</t>
  </si>
  <si>
    <t>sha256:31c8a5e70ff2149b6d3e00aa7c9b1284</t>
  </si>
</sst>
</file>

<file path=xl/styles.xml><?xml version="1.0" encoding="utf-8"?>
<styleSheet xmlns="http://schemas.openxmlformats.org/spreadsheetml/2006/main">
  <numFmts count="4">
    <numFmt numFmtId="164" formatCode="#,##0"/>
    <numFmt numFmtId="165" formatCode="+0.0%;-0.0%"/>
    <numFmt numFmtId="166" formatCode="#,##0.0"/>
    <numFmt numFmtId="167" formatCode="0.0%"/>
  </numFmts>
  <fonts count="12">
    <font>
      <sz val="11"/>
      <color theme="1"/>
      <name val="Calibri"/>
      <family val="2"/>
      <scheme val="minor"/>
    </font>
    <font>
      <b/>
      <sz val="18"/>
      <color theme="1"/>
      <name val="Calibri"/>
      <family val="2"/>
      <scheme val="minor"/>
    </font>
    <font>
      <sz val="11"/>
      <color rgb="FF52514E"/>
      <name val="Calibri"/>
      <family val="2"/>
      <scheme val="minor"/>
    </font>
    <font>
      <b/>
      <sz val="13"/>
      <color theme="1"/>
      <name val="Calibri"/>
      <family val="2"/>
      <scheme val="minor"/>
    </font>
    <font>
      <b/>
      <sz val="24"/>
      <color theme="1"/>
      <name val="Calibri"/>
      <family val="2"/>
      <scheme val="minor"/>
    </font>
    <font>
      <b/>
      <sz val="11"/>
      <color rgb="FF006300"/>
      <name val="Calibri"/>
      <family val="2"/>
      <scheme val="minor"/>
    </font>
    <font>
      <b/>
      <sz val="11"/>
      <color rgb="FFD03B3B"/>
      <name val="Calibri"/>
      <family val="2"/>
      <scheme val="minor"/>
    </font>
    <font>
      <b/>
      <sz val="11"/>
      <color theme="1"/>
      <name val="Calibri"/>
      <family val="2"/>
      <scheme val="minor"/>
    </font>
    <font>
      <sz val="10.5"/>
      <color theme="1"/>
      <name val="Calibri"/>
      <family val="2"/>
      <scheme val="minor"/>
    </font>
    <font>
      <i/>
      <sz val="9"/>
      <color rgb="FF898781"/>
      <name val="Calibri"/>
      <family val="2"/>
      <scheme val="minor"/>
    </font>
    <font>
      <b/>
      <sz val="16"/>
      <color theme="1"/>
      <name val="Calibri"/>
      <family val="2"/>
      <scheme val="minor"/>
    </font>
    <font>
      <sz val="9"/>
      <color theme="1"/>
      <name val="Consolas"/>
      <family val="2"/>
    </font>
  </fonts>
  <fills count="4">
    <fill>
      <patternFill patternType="none"/>
    </fill>
    <fill>
      <patternFill patternType="gray125"/>
    </fill>
    <fill>
      <patternFill patternType="solid">
        <fgColor rgb="FFF0EFEC"/>
        <bgColor indexed="64"/>
      </patternFill>
    </fill>
    <fill>
      <patternFill patternType="solid">
        <fgColor rgb="FFEFF5FD"/>
        <bgColor indexed="64"/>
      </patternFill>
    </fill>
  </fills>
  <borders count="3">
    <border>
      <left/>
      <right/>
      <top/>
      <bottom/>
      <diagonal/>
    </border>
    <border>
      <left style="thin">
        <color rgb="FFE1E0D9"/>
      </left>
      <right style="thin">
        <color rgb="FFE1E0D9"/>
      </right>
      <top style="thin">
        <color rgb="FFE1E0D9"/>
      </top>
      <bottom style="thin">
        <color rgb="FFE1E0D9"/>
      </bottom>
      <diagonal/>
    </border>
    <border>
      <left style="thin">
        <color rgb="FFBCD6F5"/>
      </left>
      <right style="thin">
        <color rgb="FFBCD6F5"/>
      </right>
      <top style="thin">
        <color rgb="FFBCD6F5"/>
      </top>
      <bottom style="thin">
        <color rgb="FFBCD6F5"/>
      </bottom>
      <diagonal/>
    </border>
  </borders>
  <cellStyleXfs count="1">
    <xf numFmtId="0" fontId="0" fillId="0" borderId="0"/>
  </cellStyleXfs>
  <cellXfs count="23">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xf numFmtId="0" fontId="4" fillId="0" borderId="0" xfId="0" applyFont="1"/>
    <xf numFmtId="0" fontId="5" fillId="0" borderId="0" xfId="0" applyFont="1"/>
    <xf numFmtId="0" fontId="6" fillId="0" borderId="0" xfId="0" applyFont="1"/>
    <xf numFmtId="0" fontId="7" fillId="2" borderId="1" xfId="0" applyFont="1" applyFill="1" applyBorder="1"/>
    <xf numFmtId="0" fontId="0" fillId="0" borderId="1" xfId="0" applyBorder="1"/>
    <xf numFmtId="164" fontId="0" fillId="0" borderId="1" xfId="0" applyNumberFormat="1" applyBorder="1"/>
    <xf numFmtId="165" fontId="0" fillId="0" borderId="1" xfId="0" applyNumberFormat="1" applyBorder="1"/>
    <xf numFmtId="166" fontId="0" fillId="0" borderId="1" xfId="0" applyNumberFormat="1" applyBorder="1"/>
    <xf numFmtId="167" fontId="0" fillId="0" borderId="1" xfId="0" applyNumberFormat="1" applyBorder="1"/>
    <xf numFmtId="0" fontId="8" fillId="3" borderId="2" xfId="0" applyFont="1" applyFill="1" applyBorder="1" applyAlignment="1">
      <alignment vertical="top" wrapText="1"/>
    </xf>
    <xf numFmtId="0" fontId="9" fillId="0" borderId="0" xfId="0" applyFont="1" applyAlignment="1">
      <alignment vertical="top" wrapText="1"/>
    </xf>
    <xf numFmtId="0" fontId="7" fillId="0" borderId="1" xfId="0" applyFont="1" applyBorder="1"/>
    <xf numFmtId="164" fontId="7" fillId="0" borderId="1" xfId="0" applyNumberFormat="1" applyFont="1" applyBorder="1"/>
    <xf numFmtId="167" fontId="7" fillId="0" borderId="1" xfId="0" applyNumberFormat="1" applyFont="1" applyBorder="1"/>
    <xf numFmtId="0" fontId="0" fillId="0" borderId="1" xfId="0" applyBorder="1" applyAlignment="1">
      <alignment vertical="top" wrapText="1"/>
    </xf>
    <xf numFmtId="0" fontId="10" fillId="0" borderId="0" xfId="0" applyFont="1" applyAlignment="1">
      <alignment horizontal="right" readingOrder="2"/>
    </xf>
    <xf numFmtId="0" fontId="0" fillId="0" borderId="0" xfId="0" applyAlignment="1">
      <alignment horizontal="right" vertical="top" wrapText="1" readingOrder="2"/>
    </xf>
    <xf numFmtId="0" fontId="11" fillId="0" borderId="1" xfId="0" applyFont="1" applyBorder="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theme" Target="theme/theme1.xml"/><Relationship Id="rId14" Type="http://schemas.openxmlformats.org/officeDocument/2006/relationships/styles" Target="styles.xml"/><Relationship Id="rId15"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Revenue by month</a:t>
            </a:r>
          </a:p>
        </c:rich>
      </c:tx>
      <c:layout/>
    </c:title>
    <c:plotArea>
      <c:layout/>
      <c:lineChart>
        <c:grouping val="standard"/>
        <c:ser>
          <c:idx val="0"/>
          <c:order val="0"/>
          <c:tx>
            <c:v>Revenue</c:v>
          </c:tx>
          <c:spPr>
            <a:ln w="28575">
              <a:solidFill>
                <a:srgbClr val="2A78D6"/>
              </a:solidFill>
            </a:ln>
          </c:spPr>
          <c:marker>
            <c:symbol val="circle"/>
            <c:size val="6"/>
            <c:spPr>
              <a:solidFill>
                <a:srgbClr val="2A78D6"/>
              </a:solidFill>
            </c:spPr>
          </c:marker>
          <c:cat>
            <c:strRef>
              <c:f>'Chart Data (English)'!$A$2:$A$8</c:f>
              <c:strCache>
                <c:ptCount val="7"/>
                <c:pt idx="0">
                  <c:v>January</c:v>
                </c:pt>
                <c:pt idx="1">
                  <c:v>February</c:v>
                </c:pt>
                <c:pt idx="2">
                  <c:v>March</c:v>
                </c:pt>
                <c:pt idx="3">
                  <c:v>April</c:v>
                </c:pt>
                <c:pt idx="4">
                  <c:v>May</c:v>
                </c:pt>
                <c:pt idx="5">
                  <c:v>June</c:v>
                </c:pt>
                <c:pt idx="6">
                  <c:v>July</c:v>
                </c:pt>
              </c:strCache>
            </c:strRef>
          </c:cat>
          <c:val>
            <c:numRef>
              <c:f>'Chart Data (English)'!$B$2:$B$8</c:f>
              <c:numCache>
                <c:formatCode>General</c:formatCode>
                <c:ptCount val="7"/>
                <c:pt idx="0">
                  <c:v>318000</c:v>
                </c:pt>
                <c:pt idx="1">
                  <c:v>331000</c:v>
                </c:pt>
                <c:pt idx="2">
                  <c:v>356000</c:v>
                </c:pt>
                <c:pt idx="3">
                  <c:v>344000</c:v>
                </c:pt>
                <c:pt idx="4">
                  <c:v>372000</c:v>
                </c:pt>
                <c:pt idx="5">
                  <c:v>388000</c:v>
                </c:pt>
                <c:pt idx="6">
                  <c:v>403000</c:v>
                </c:pt>
              </c:numCache>
            </c:numRef>
          </c:val>
        </c:ser>
        <c:marker val="1"/>
        <c:axId val="50010001"/>
        <c:axId val="50010002"/>
      </c:lineChart>
      <c:catAx>
        <c:axId val="50010001"/>
        <c:scaling>
          <c:orientation val="minMax"/>
        </c:scaling>
        <c:axPos val="b"/>
        <c:tickLblPos val="nextTo"/>
        <c:crossAx val="50010002"/>
        <c:crosses val="autoZero"/>
        <c:auto val="1"/>
        <c:lblAlgn val="ctr"/>
        <c:lblOffset val="100"/>
      </c:catAx>
      <c:valAx>
        <c:axId val="50010002"/>
        <c:scaling>
          <c:orientation val="minMax"/>
        </c:scaling>
        <c:axPos val="l"/>
        <c:majorGridlines/>
        <c:numFmt formatCode="#,##0" sourceLinked="0"/>
        <c:tickLblPos val="nextTo"/>
        <c:crossAx val="50010001"/>
        <c:crosses val="autoZero"/>
        <c:crossBetween val="between"/>
      </c:valAx>
    </c:plotArea>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What drove the revenue change</a:t>
            </a:r>
          </a:p>
        </c:rich>
      </c:tx>
      <c:layout/>
    </c:title>
    <c:plotArea>
      <c:layout/>
      <c:barChart>
        <c:barDir val="col"/>
        <c:grouping val="clustered"/>
        <c:ser>
          <c:idx val="0"/>
          <c:order val="0"/>
          <c:tx>
            <c:v>Effect on revenue</c:v>
          </c:tx>
          <c:dPt>
            <c:idx val="0"/>
            <c:spPr>
              <a:solidFill>
                <a:srgbClr val="2A78D6"/>
              </a:solidFill>
            </c:spPr>
          </c:dPt>
          <c:dPt>
            <c:idx val="1"/>
            <c:spPr>
              <a:solidFill>
                <a:srgbClr val="EB6834"/>
              </a:solidFill>
            </c:spPr>
          </c:dPt>
          <c:dPt>
            <c:idx val="2"/>
            <c:spPr>
              <a:solidFill>
                <a:srgbClr val="898781"/>
              </a:solidFill>
            </c:spPr>
          </c:dPt>
          <c:cat>
            <c:strRef>
              <c:f>'Chart Data (English)'!$D$2:$D$4</c:f>
              <c:strCache>
                <c:ptCount val="3"/>
                <c:pt idx="0">
                  <c:v>Higher prices</c:v>
                </c:pt>
                <c:pt idx="1">
                  <c:v>Lower volume</c:v>
                </c:pt>
                <c:pt idx="2">
                  <c:v>Net change</c:v>
                </c:pt>
              </c:strCache>
            </c:strRef>
          </c:cat>
          <c:val>
            <c:numRef>
              <c:f>'Chart Data (English)'!$E$2:$E$4</c:f>
              <c:numCache>
                <c:formatCode>General</c:formatCode>
                <c:ptCount val="3"/>
                <c:pt idx="0">
                  <c:v>164000</c:v>
                </c:pt>
                <c:pt idx="1">
                  <c:v>-51000</c:v>
                </c:pt>
                <c:pt idx="2">
                  <c:v>113000</c:v>
                </c:pt>
              </c:numCache>
            </c:numRef>
          </c:val>
        </c:ser>
        <c:axId val="50020001"/>
        <c:axId val="50020002"/>
      </c:barChart>
      <c:catAx>
        <c:axId val="50020001"/>
        <c:scaling>
          <c:orientation val="minMax"/>
        </c:scaling>
        <c:axPos val="b"/>
        <c:tickLblPos val="nextTo"/>
        <c:crossAx val="50020002"/>
        <c:crosses val="autoZero"/>
        <c:auto val="1"/>
        <c:lblAlgn val="ctr"/>
        <c:lblOffset val="100"/>
      </c:catAx>
      <c:valAx>
        <c:axId val="50020002"/>
        <c:scaling>
          <c:orientation val="minMax"/>
        </c:scaling>
        <c:axPos val="l"/>
        <c:majorGridlines/>
        <c:numFmt formatCode="General" sourceLinked="1"/>
        <c:tickLblPos val="nextTo"/>
        <c:crossAx val="50020001"/>
        <c:crosses val="autoZero"/>
        <c:crossBetween val="between"/>
      </c:valAx>
    </c:plotArea>
    <c:plotVisOnly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Gross margin by month</a:t>
            </a:r>
          </a:p>
        </c:rich>
      </c:tx>
      <c:layout/>
    </c:title>
    <c:plotArea>
      <c:layout/>
      <c:lineChart>
        <c:grouping val="standard"/>
        <c:ser>
          <c:idx val="0"/>
          <c:order val="0"/>
          <c:tx>
            <c:v>Gross margin</c:v>
          </c:tx>
          <c:spPr>
            <a:ln w="28575">
              <a:solidFill>
                <a:srgbClr val="2A78D6"/>
              </a:solidFill>
            </a:ln>
          </c:spPr>
          <c:marker>
            <c:symbol val="circle"/>
            <c:size val="6"/>
            <c:spPr>
              <a:solidFill>
                <a:srgbClr val="2A78D6"/>
              </a:solidFill>
            </c:spPr>
          </c:marker>
          <c:cat>
            <c:strRef>
              <c:f>'Chart Data (English)'!$G$2:$G$8</c:f>
              <c:strCache>
                <c:ptCount val="7"/>
                <c:pt idx="0">
                  <c:v>January</c:v>
                </c:pt>
                <c:pt idx="1">
                  <c:v>February</c:v>
                </c:pt>
                <c:pt idx="2">
                  <c:v>March</c:v>
                </c:pt>
                <c:pt idx="3">
                  <c:v>April</c:v>
                </c:pt>
                <c:pt idx="4">
                  <c:v>May</c:v>
                </c:pt>
                <c:pt idx="5">
                  <c:v>June</c:v>
                </c:pt>
                <c:pt idx="6">
                  <c:v>July</c:v>
                </c:pt>
              </c:strCache>
            </c:strRef>
          </c:cat>
          <c:val>
            <c:numRef>
              <c:f>'Chart Data (English)'!$H$2:$H$8</c:f>
              <c:numCache>
                <c:formatCode>General</c:formatCode>
                <c:ptCount val="7"/>
                <c:pt idx="0">
                  <c:v>0.316</c:v>
                </c:pt>
                <c:pt idx="1">
                  <c:v>0.315</c:v>
                </c:pt>
                <c:pt idx="2">
                  <c:v>0.314</c:v>
                </c:pt>
                <c:pt idx="3">
                  <c:v>0.31</c:v>
                </c:pt>
                <c:pt idx="4">
                  <c:v>0.304</c:v>
                </c:pt>
                <c:pt idx="5">
                  <c:v>0.299</c:v>
                </c:pt>
                <c:pt idx="6">
                  <c:v>0.294</c:v>
                </c:pt>
              </c:numCache>
            </c:numRef>
          </c:val>
        </c:ser>
        <c:marker val="1"/>
        <c:axId val="50030001"/>
        <c:axId val="50030002"/>
      </c:lineChart>
      <c:catAx>
        <c:axId val="50030001"/>
        <c:scaling>
          <c:orientation val="minMax"/>
        </c:scaling>
        <c:axPos val="b"/>
        <c:tickLblPos val="nextTo"/>
        <c:crossAx val="50030002"/>
        <c:crosses val="autoZero"/>
        <c:auto val="1"/>
        <c:lblAlgn val="ctr"/>
        <c:lblOffset val="100"/>
      </c:catAx>
      <c:valAx>
        <c:axId val="50030002"/>
        <c:scaling>
          <c:orientation val="minMax"/>
        </c:scaling>
        <c:axPos val="l"/>
        <c:majorGridlines/>
        <c:numFmt formatCode="0.0%" sourceLinked="0"/>
        <c:tickLblPos val="nextTo"/>
        <c:crossAx val="50030001"/>
        <c:crosses val="autoZero"/>
        <c:crossBetween val="between"/>
      </c:valAx>
    </c:plotArea>
    <c:plotVisOnly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How concentrated your sales are</a:t>
            </a:r>
          </a:p>
        </c:rich>
      </c:tx>
      <c:layout/>
    </c:title>
    <c:plotArea>
      <c:layout/>
      <c:lineChart>
        <c:grouping val="standard"/>
        <c:ser>
          <c:idx val="0"/>
          <c:order val="0"/>
          <c:tx>
            <c:v>Cumulative share of sales</c:v>
          </c:tx>
          <c:spPr>
            <a:ln w="28575">
              <a:solidFill>
                <a:srgbClr val="2A78D6"/>
              </a:solidFill>
            </a:ln>
          </c:spPr>
          <c:marker>
            <c:symbol val="circle"/>
            <c:size val="6"/>
            <c:spPr>
              <a:solidFill>
                <a:srgbClr val="2A78D6"/>
              </a:solidFill>
            </c:spPr>
          </c:marker>
          <c:cat>
            <c:strRef>
              <c:f>'Chart Data (English)'!$J$2:$J$7</c:f>
              <c:strCache>
                <c:ptCount val="6"/>
                <c:pt idx="0">
                  <c:v>Nasr City</c:v>
                </c:pt>
                <c:pt idx="1">
                  <c:v>Maadi</c:v>
                </c:pt>
                <c:pt idx="2">
                  <c:v>Heliopolis</c:v>
                </c:pt>
                <c:pt idx="3">
                  <c:v>Giza</c:v>
                </c:pt>
                <c:pt idx="4">
                  <c:v>Zamalek</c:v>
                </c:pt>
                <c:pt idx="5">
                  <c:v>Dokki</c:v>
                </c:pt>
              </c:strCache>
            </c:strRef>
          </c:cat>
          <c:val>
            <c:numRef>
              <c:f>'Chart Data (English)'!$K$2:$K$7</c:f>
              <c:numCache>
                <c:formatCode>General</c:formatCode>
                <c:ptCount val="6"/>
                <c:pt idx="0">
                  <c:v>0.295</c:v>
                </c:pt>
                <c:pt idx="1">
                  <c:v>0.541</c:v>
                </c:pt>
                <c:pt idx="2">
                  <c:v>0.71</c:v>
                </c:pt>
                <c:pt idx="3">
                  <c:v>0.834</c:v>
                </c:pt>
                <c:pt idx="4">
                  <c:v>0.925</c:v>
                </c:pt>
                <c:pt idx="5">
                  <c:v>1</c:v>
                </c:pt>
              </c:numCache>
            </c:numRef>
          </c:val>
        </c:ser>
        <c:marker val="1"/>
        <c:axId val="50040001"/>
        <c:axId val="50040002"/>
      </c:lineChart>
      <c:catAx>
        <c:axId val="50040001"/>
        <c:scaling>
          <c:orientation val="minMax"/>
        </c:scaling>
        <c:axPos val="b"/>
        <c:tickLblPos val="nextTo"/>
        <c:crossAx val="50040002"/>
        <c:crosses val="autoZero"/>
        <c:auto val="1"/>
        <c:lblAlgn val="ctr"/>
        <c:lblOffset val="100"/>
      </c:catAx>
      <c:valAx>
        <c:axId val="50040002"/>
        <c:scaling>
          <c:orientation val="minMax"/>
          <c:max val="1"/>
        </c:scaling>
        <c:axPos val="l"/>
        <c:majorGridlines/>
        <c:numFmt formatCode="0%" sourceLinked="0"/>
        <c:tickLblPos val="nextTo"/>
        <c:crossAx val="50040001"/>
        <c:crosses val="autoZero"/>
        <c:crossBetween val="between"/>
      </c:valAx>
    </c:plotArea>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9</xdr:col>
      <xdr:colOff>0</xdr:colOff>
      <xdr:row>4</xdr:row>
      <xdr:rowOff>0</xdr:rowOff>
    </xdr:from>
    <xdr:to>
      <xdr:col>19</xdr:col>
      <xdr:colOff>76200</xdr:colOff>
      <xdr:row>22</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0</xdr:colOff>
      <xdr:row>4</xdr:row>
      <xdr:rowOff>0</xdr:rowOff>
    </xdr:from>
    <xdr:to>
      <xdr:col>14</xdr:col>
      <xdr:colOff>457200</xdr:colOff>
      <xdr:row>22</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0</xdr:colOff>
      <xdr:row>11</xdr:row>
      <xdr:rowOff>0</xdr:rowOff>
    </xdr:from>
    <xdr:to>
      <xdr:col>14</xdr:col>
      <xdr:colOff>457200</xdr:colOff>
      <xdr:row>28</xdr:row>
      <xdr:rowOff>57150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10</xdr:col>
      <xdr:colOff>0</xdr:colOff>
      <xdr:row>4</xdr:row>
      <xdr:rowOff>0</xdr:rowOff>
    </xdr:from>
    <xdr:to>
      <xdr:col>20</xdr:col>
      <xdr:colOff>76200</xdr:colOff>
      <xdr:row>22</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dimension ref="B2:G34"/>
  <sheetViews>
    <sheetView tabSelected="1" workbookViewId="0"/>
  </sheetViews>
  <sheetFormatPr defaultRowHeight="15"/>
  <cols>
    <col min="1" max="1" width="2.7109375" customWidth="1"/>
    <col min="2" max="2" width="30.7109375" customWidth="1"/>
    <col min="3" max="7" width="15.7109375" customWidth="1"/>
  </cols>
  <sheetData>
    <row r="2" spans="2:7">
      <c r="B2" s="1" t="s">
        <v>0</v>
      </c>
    </row>
    <row r="3" spans="2:7">
      <c r="B3" s="2" t="s">
        <v>1</v>
      </c>
    </row>
    <row r="5" spans="2:7">
      <c r="B5" s="3" t="s">
        <v>2</v>
      </c>
      <c r="C5" s="3"/>
      <c r="D5" s="3"/>
      <c r="E5" s="3"/>
      <c r="F5" s="3"/>
      <c r="G5" s="3"/>
    </row>
    <row r="6" spans="2:7">
      <c r="B6" s="3"/>
      <c r="C6" s="3"/>
      <c r="D6" s="3"/>
      <c r="E6" s="3"/>
      <c r="F6" s="3"/>
      <c r="G6" s="3"/>
    </row>
    <row r="7" spans="2:7">
      <c r="B7" s="3"/>
      <c r="C7" s="3"/>
      <c r="D7" s="3"/>
      <c r="E7" s="3"/>
      <c r="F7" s="3"/>
      <c r="G7" s="3"/>
    </row>
    <row r="8" spans="2:7">
      <c r="B8" s="3"/>
      <c r="C8" s="3"/>
      <c r="D8" s="3"/>
      <c r="E8" s="3"/>
      <c r="F8" s="3"/>
      <c r="G8" s="3"/>
    </row>
    <row r="10" spans="2:7">
      <c r="B10" s="4" t="s">
        <v>3</v>
      </c>
      <c r="E10" s="4" t="s">
        <v>6</v>
      </c>
    </row>
    <row r="11" spans="2:7">
      <c r="B11" s="5" t="s">
        <v>4</v>
      </c>
      <c r="E11" s="5" t="s">
        <v>7</v>
      </c>
    </row>
    <row r="12" spans="2:7">
      <c r="B12" s="6" t="s">
        <v>5</v>
      </c>
      <c r="E12" s="7" t="s">
        <v>8</v>
      </c>
    </row>
    <row r="14" spans="2:7">
      <c r="B14" s="4" t="s">
        <v>9</v>
      </c>
    </row>
    <row r="15" spans="2:7">
      <c r="B15" s="8" t="s">
        <v>10</v>
      </c>
      <c r="C15" s="8" t="s">
        <v>11</v>
      </c>
      <c r="D15" s="8" t="s">
        <v>12</v>
      </c>
    </row>
    <row r="16" spans="2:7">
      <c r="B16" s="9" t="s">
        <v>13</v>
      </c>
      <c r="C16" s="10">
        <v>2512000</v>
      </c>
      <c r="D16" s="11">
        <v>0.047</v>
      </c>
    </row>
    <row r="17" spans="2:7">
      <c r="B17" s="9" t="s">
        <v>14</v>
      </c>
      <c r="C17" s="10">
        <v>48310</v>
      </c>
      <c r="D17" s="11">
        <v>-0.021</v>
      </c>
    </row>
    <row r="18" spans="2:7">
      <c r="B18" s="9" t="s">
        <v>15</v>
      </c>
      <c r="C18" s="10">
        <v>15204</v>
      </c>
      <c r="D18" s="11">
        <v>0.008</v>
      </c>
    </row>
    <row r="19" spans="2:7">
      <c r="B19" s="9" t="s">
        <v>16</v>
      </c>
      <c r="C19" s="10">
        <v>165</v>
      </c>
      <c r="D19" s="11">
        <v>0.039</v>
      </c>
    </row>
    <row r="20" spans="2:7">
      <c r="B20" s="9" t="s">
        <v>17</v>
      </c>
      <c r="C20" s="12">
        <v>52</v>
      </c>
      <c r="D20" s="11">
        <v>0.06900000000000001</v>
      </c>
    </row>
    <row r="21" spans="2:7">
      <c r="B21" s="9" t="s">
        <v>18</v>
      </c>
      <c r="C21" s="10">
        <v>1743300</v>
      </c>
      <c r="D21" s="11">
        <v>0.059</v>
      </c>
    </row>
    <row r="22" spans="2:7">
      <c r="B22" s="9" t="s">
        <v>6</v>
      </c>
      <c r="C22" s="10">
        <v>768700</v>
      </c>
      <c r="D22" s="11">
        <v>0.021</v>
      </c>
    </row>
    <row r="23" spans="2:7">
      <c r="B23" s="9" t="s">
        <v>19</v>
      </c>
      <c r="C23" s="10">
        <v>147300</v>
      </c>
      <c r="D23" s="11">
        <v>0.184</v>
      </c>
    </row>
    <row r="24" spans="2:7">
      <c r="B24" s="9" t="s">
        <v>20</v>
      </c>
      <c r="C24" s="10">
        <v>61900</v>
      </c>
      <c r="D24" s="11">
        <v>0.092</v>
      </c>
    </row>
    <row r="25" spans="2:7">
      <c r="B25" s="9" t="s">
        <v>21</v>
      </c>
      <c r="C25" s="13">
        <v>0.306</v>
      </c>
      <c r="D25" s="9" t="s">
        <v>22</v>
      </c>
    </row>
    <row r="27" spans="2:7">
      <c r="B27" s="4" t="s">
        <v>23</v>
      </c>
    </row>
    <row r="28" spans="2:7">
      <c r="B28" s="14" t="s">
        <v>24</v>
      </c>
      <c r="C28" s="14"/>
      <c r="D28" s="14"/>
      <c r="E28" s="14"/>
      <c r="F28" s="14"/>
      <c r="G28" s="14"/>
    </row>
    <row r="29" spans="2:7">
      <c r="B29" s="14"/>
      <c r="C29" s="14"/>
      <c r="D29" s="14"/>
      <c r="E29" s="14"/>
      <c r="F29" s="14"/>
      <c r="G29" s="14"/>
    </row>
    <row r="30" spans="2:7">
      <c r="B30" s="14"/>
      <c r="C30" s="14"/>
      <c r="D30" s="14"/>
      <c r="E30" s="14"/>
      <c r="F30" s="14"/>
      <c r="G30" s="14"/>
    </row>
    <row r="32" spans="2:7">
      <c r="B32" s="15" t="s">
        <v>25</v>
      </c>
      <c r="C32" s="15"/>
      <c r="D32" s="15"/>
      <c r="E32" s="15"/>
      <c r="F32" s="15"/>
      <c r="G32" s="15"/>
    </row>
    <row r="33" spans="2:7">
      <c r="B33" s="15"/>
      <c r="C33" s="15"/>
      <c r="D33" s="15"/>
      <c r="E33" s="15"/>
      <c r="F33" s="15"/>
      <c r="G33" s="15"/>
    </row>
    <row r="34" spans="2:7">
      <c r="B34" s="15"/>
      <c r="C34" s="15"/>
      <c r="D34" s="15"/>
      <c r="E34" s="15"/>
      <c r="F34" s="15"/>
      <c r="G34" s="15"/>
    </row>
  </sheetData>
  <mergeCells count="3">
    <mergeCell ref="B5:G8"/>
    <mergeCell ref="B28:G30"/>
    <mergeCell ref="B32:G34"/>
  </mergeCell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B2:H19"/>
  <sheetViews>
    <sheetView workbookViewId="0"/>
  </sheetViews>
  <sheetFormatPr defaultRowHeight="15"/>
  <cols>
    <col min="1" max="1" width="2.7109375" customWidth="1"/>
    <col min="2" max="8" width="14.7109375" customWidth="1"/>
  </cols>
  <sheetData>
    <row r="2" spans="2:8">
      <c r="B2" s="1" t="s">
        <v>26</v>
      </c>
    </row>
    <row r="3" spans="2:8">
      <c r="B3" s="2" t="s">
        <v>27</v>
      </c>
    </row>
    <row r="5" spans="2:8">
      <c r="B5" s="8" t="s">
        <v>28</v>
      </c>
      <c r="C5" s="8" t="s">
        <v>13</v>
      </c>
      <c r="D5" s="8" t="s">
        <v>29</v>
      </c>
      <c r="E5" s="8" t="s">
        <v>30</v>
      </c>
      <c r="F5" s="8" t="s">
        <v>31</v>
      </c>
      <c r="G5" s="8" t="s">
        <v>32</v>
      </c>
      <c r="H5" s="8" t="s">
        <v>21</v>
      </c>
    </row>
    <row r="6" spans="2:8">
      <c r="B6" s="9" t="s">
        <v>33</v>
      </c>
      <c r="C6" s="10">
        <v>318000</v>
      </c>
      <c r="D6" s="10">
        <v>6980</v>
      </c>
      <c r="E6" s="10">
        <v>2110</v>
      </c>
      <c r="F6" s="10">
        <v>151</v>
      </c>
      <c r="G6" s="12">
        <v>45.6</v>
      </c>
      <c r="H6" s="13">
        <v>0.316</v>
      </c>
    </row>
    <row r="7" spans="2:8">
      <c r="B7" s="9" t="s">
        <v>34</v>
      </c>
      <c r="C7" s="10">
        <v>331000</v>
      </c>
      <c r="D7" s="10">
        <v>7120</v>
      </c>
      <c r="E7" s="10">
        <v>2180</v>
      </c>
      <c r="F7" s="10">
        <v>152</v>
      </c>
      <c r="G7" s="12">
        <v>46.5</v>
      </c>
      <c r="H7" s="13">
        <v>0.315</v>
      </c>
    </row>
    <row r="8" spans="2:8">
      <c r="B8" s="9" t="s">
        <v>35</v>
      </c>
      <c r="C8" s="10">
        <v>356000</v>
      </c>
      <c r="D8" s="10">
        <v>7240</v>
      </c>
      <c r="E8" s="10">
        <v>2260</v>
      </c>
      <c r="F8" s="10">
        <v>158</v>
      </c>
      <c r="G8" s="12">
        <v>49.2</v>
      </c>
      <c r="H8" s="13">
        <v>0.314</v>
      </c>
    </row>
    <row r="9" spans="2:8">
      <c r="B9" s="9" t="s">
        <v>36</v>
      </c>
      <c r="C9" s="10">
        <v>344000</v>
      </c>
      <c r="D9" s="10">
        <v>6810</v>
      </c>
      <c r="E9" s="10">
        <v>2140</v>
      </c>
      <c r="F9" s="10">
        <v>161</v>
      </c>
      <c r="G9" s="12">
        <v>50.5</v>
      </c>
      <c r="H9" s="13">
        <v>0.31</v>
      </c>
    </row>
    <row r="10" spans="2:8">
      <c r="B10" s="9" t="s">
        <v>37</v>
      </c>
      <c r="C10" s="10">
        <v>372000</v>
      </c>
      <c r="D10" s="10">
        <v>6890</v>
      </c>
      <c r="E10" s="10">
        <v>2230</v>
      </c>
      <c r="F10" s="10">
        <v>167</v>
      </c>
      <c r="G10" s="12">
        <v>54</v>
      </c>
      <c r="H10" s="13">
        <v>0.304</v>
      </c>
    </row>
    <row r="11" spans="2:8">
      <c r="B11" s="9" t="s">
        <v>38</v>
      </c>
      <c r="C11" s="10">
        <v>388000</v>
      </c>
      <c r="D11" s="10">
        <v>6720</v>
      </c>
      <c r="E11" s="10">
        <v>2250</v>
      </c>
      <c r="F11" s="10">
        <v>172</v>
      </c>
      <c r="G11" s="12">
        <v>57.7</v>
      </c>
      <c r="H11" s="13">
        <v>0.299</v>
      </c>
    </row>
    <row r="12" spans="2:8">
      <c r="B12" s="9" t="s">
        <v>39</v>
      </c>
      <c r="C12" s="10">
        <v>403000</v>
      </c>
      <c r="D12" s="10">
        <v>6550</v>
      </c>
      <c r="E12" s="10">
        <v>2034</v>
      </c>
      <c r="F12" s="10">
        <v>198</v>
      </c>
      <c r="G12" s="12">
        <v>61.5</v>
      </c>
      <c r="H12" s="13">
        <v>0.294</v>
      </c>
    </row>
    <row r="13" spans="2:8">
      <c r="B13" s="16" t="s">
        <v>40</v>
      </c>
      <c r="C13" s="17">
        <v>2512000</v>
      </c>
      <c r="D13" s="17">
        <v>48310</v>
      </c>
      <c r="E13" s="17">
        <v>15204</v>
      </c>
      <c r="F13" s="17">
        <v>165</v>
      </c>
      <c r="G13" s="17">
        <v>52</v>
      </c>
      <c r="H13" s="18">
        <v>0.306</v>
      </c>
    </row>
    <row r="16" spans="2:8">
      <c r="B16" s="4" t="s">
        <v>41</v>
      </c>
    </row>
    <row r="17" spans="2:8">
      <c r="B17" s="14" t="s">
        <v>42</v>
      </c>
      <c r="C17" s="14"/>
      <c r="D17" s="14"/>
      <c r="E17" s="14"/>
      <c r="F17" s="14"/>
      <c r="G17" s="14"/>
      <c r="H17" s="14"/>
    </row>
    <row r="18" spans="2:8">
      <c r="B18" s="14"/>
      <c r="C18" s="14"/>
      <c r="D18" s="14"/>
      <c r="E18" s="14"/>
      <c r="F18" s="14"/>
      <c r="G18" s="14"/>
      <c r="H18" s="14"/>
    </row>
    <row r="19" spans="2:8">
      <c r="B19" s="14"/>
      <c r="C19" s="14"/>
      <c r="D19" s="14"/>
      <c r="E19" s="14"/>
      <c r="F19" s="14"/>
      <c r="G19" s="14"/>
      <c r="H19" s="14"/>
    </row>
  </sheetData>
  <mergeCells count="1">
    <mergeCell ref="B17:H19"/>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dimension ref="B2:F23"/>
  <sheetViews>
    <sheetView workbookViewId="0"/>
  </sheetViews>
  <sheetFormatPr defaultRowHeight="15"/>
  <cols>
    <col min="1" max="1" width="2.7109375" customWidth="1"/>
    <col min="2" max="2" width="24.7109375" customWidth="1"/>
    <col min="3" max="6" width="16.7109375" customWidth="1"/>
  </cols>
  <sheetData>
    <row r="2" spans="2:6">
      <c r="B2" s="1" t="s">
        <v>43</v>
      </c>
    </row>
    <row r="3" spans="2:6">
      <c r="B3" s="2" t="s">
        <v>44</v>
      </c>
    </row>
    <row r="5" spans="2:6">
      <c r="B5" s="8" t="s">
        <v>10</v>
      </c>
      <c r="C5" s="8" t="s">
        <v>11</v>
      </c>
      <c r="D5" s="8" t="s">
        <v>45</v>
      </c>
      <c r="E5" s="8" t="s">
        <v>12</v>
      </c>
      <c r="F5" s="8" t="s">
        <v>46</v>
      </c>
    </row>
    <row r="6" spans="2:6">
      <c r="B6" s="9" t="s">
        <v>13</v>
      </c>
      <c r="C6" s="10">
        <v>2512000</v>
      </c>
      <c r="D6" s="10">
        <v>2399000</v>
      </c>
      <c r="E6" s="11">
        <v>0.047</v>
      </c>
      <c r="F6" s="9" t="s">
        <v>47</v>
      </c>
    </row>
    <row r="7" spans="2:6">
      <c r="B7" s="9" t="s">
        <v>14</v>
      </c>
      <c r="C7" s="10">
        <v>48310</v>
      </c>
      <c r="D7" s="10">
        <v>49347</v>
      </c>
      <c r="E7" s="11">
        <v>-0.021</v>
      </c>
      <c r="F7" s="9" t="s">
        <v>48</v>
      </c>
    </row>
    <row r="8" spans="2:6">
      <c r="B8" s="9" t="s">
        <v>15</v>
      </c>
      <c r="C8" s="10">
        <v>15204</v>
      </c>
      <c r="D8" s="10">
        <v>15083</v>
      </c>
      <c r="E8" s="11">
        <v>0.008</v>
      </c>
      <c r="F8" s="9" t="s">
        <v>47</v>
      </c>
    </row>
    <row r="9" spans="2:6">
      <c r="B9" s="9" t="s">
        <v>16</v>
      </c>
      <c r="C9" s="10">
        <v>165</v>
      </c>
      <c r="D9" s="10">
        <v>159</v>
      </c>
      <c r="E9" s="11">
        <v>0.039</v>
      </c>
      <c r="F9" s="9" t="s">
        <v>47</v>
      </c>
    </row>
    <row r="10" spans="2:6">
      <c r="B10" s="9" t="s">
        <v>17</v>
      </c>
      <c r="C10" s="12">
        <v>52</v>
      </c>
      <c r="D10" s="12">
        <v>48.6</v>
      </c>
      <c r="E10" s="11">
        <v>0.06900000000000001</v>
      </c>
      <c r="F10" s="9" t="s">
        <v>47</v>
      </c>
    </row>
    <row r="11" spans="2:6">
      <c r="B11" s="9" t="s">
        <v>18</v>
      </c>
      <c r="C11" s="10">
        <v>1743300</v>
      </c>
      <c r="D11" s="10">
        <v>1645700</v>
      </c>
      <c r="E11" s="11">
        <v>0.059</v>
      </c>
      <c r="F11" s="9" t="s">
        <v>48</v>
      </c>
    </row>
    <row r="12" spans="2:6">
      <c r="B12" s="9" t="s">
        <v>6</v>
      </c>
      <c r="C12" s="10">
        <v>768700</v>
      </c>
      <c r="D12" s="10">
        <v>753300</v>
      </c>
      <c r="E12" s="11">
        <v>0.021</v>
      </c>
      <c r="F12" s="9" t="s">
        <v>47</v>
      </c>
    </row>
    <row r="13" spans="2:6">
      <c r="B13" s="9" t="s">
        <v>21</v>
      </c>
      <c r="C13" s="13">
        <v>0.306</v>
      </c>
      <c r="D13" s="13">
        <v>0.314</v>
      </c>
      <c r="E13" s="9" t="s">
        <v>22</v>
      </c>
      <c r="F13" s="9" t="s">
        <v>49</v>
      </c>
    </row>
    <row r="15" spans="2:6">
      <c r="B15" s="4" t="s">
        <v>50</v>
      </c>
    </row>
    <row r="16" spans="2:6">
      <c r="B16" s="14" t="s">
        <v>51</v>
      </c>
      <c r="C16" s="14"/>
      <c r="D16" s="14"/>
      <c r="E16" s="14"/>
      <c r="F16" s="14"/>
    </row>
    <row r="17" spans="2:6">
      <c r="B17" s="14"/>
      <c r="C17" s="14"/>
      <c r="D17" s="14"/>
      <c r="E17" s="14"/>
      <c r="F17" s="14"/>
    </row>
    <row r="18" spans="2:6">
      <c r="B18" s="14"/>
      <c r="C18" s="14"/>
      <c r="D18" s="14"/>
      <c r="E18" s="14"/>
      <c r="F18" s="14"/>
    </row>
    <row r="20" spans="2:6">
      <c r="B20" s="4" t="s">
        <v>52</v>
      </c>
    </row>
    <row r="21" spans="2:6">
      <c r="B21" s="19" t="s">
        <v>53</v>
      </c>
      <c r="C21" s="19"/>
      <c r="D21" s="19"/>
      <c r="E21" s="19"/>
      <c r="F21" s="19"/>
    </row>
    <row r="22" spans="2:6">
      <c r="B22" s="19"/>
      <c r="C22" s="19"/>
      <c r="D22" s="19"/>
      <c r="E22" s="19"/>
      <c r="F22" s="19"/>
    </row>
    <row r="23" spans="2:6">
      <c r="B23" s="19"/>
      <c r="C23" s="19"/>
      <c r="D23" s="19"/>
      <c r="E23" s="19"/>
      <c r="F23" s="19"/>
    </row>
  </sheetData>
  <mergeCells count="2">
    <mergeCell ref="B16:F18"/>
    <mergeCell ref="B21:F23"/>
  </mergeCell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B2:D16"/>
  <sheetViews>
    <sheetView workbookViewId="0"/>
  </sheetViews>
  <sheetFormatPr defaultRowHeight="15"/>
  <cols>
    <col min="1" max="1" width="2.7109375" customWidth="1"/>
    <col min="2" max="2" width="28.7109375" customWidth="1"/>
    <col min="3" max="4" width="18.7109375" customWidth="1"/>
  </cols>
  <sheetData>
    <row r="2" spans="2:4">
      <c r="B2" s="1" t="s">
        <v>54</v>
      </c>
    </row>
    <row r="3" spans="2:4">
      <c r="B3" s="2" t="s">
        <v>55</v>
      </c>
    </row>
    <row r="5" spans="2:4">
      <c r="B5" s="8" t="s">
        <v>56</v>
      </c>
      <c r="C5" s="8" t="s">
        <v>57</v>
      </c>
    </row>
    <row r="6" spans="2:4">
      <c r="B6" s="9" t="s">
        <v>58</v>
      </c>
      <c r="C6" s="10">
        <v>164000</v>
      </c>
    </row>
    <row r="7" spans="2:4">
      <c r="B7" s="9" t="s">
        <v>59</v>
      </c>
      <c r="C7" s="10">
        <v>-51000</v>
      </c>
    </row>
    <row r="8" spans="2:4">
      <c r="B8" s="16" t="s">
        <v>60</v>
      </c>
      <c r="C8" s="17">
        <v>113000</v>
      </c>
    </row>
    <row r="9" spans="2:4">
      <c r="B9" s="15" t="s">
        <v>61</v>
      </c>
      <c r="C9" s="15"/>
      <c r="D9" s="15"/>
    </row>
    <row r="10" spans="2:4">
      <c r="B10" s="15"/>
      <c r="C10" s="15"/>
      <c r="D10" s="15"/>
    </row>
    <row r="11" spans="2:4">
      <c r="B11" s="15"/>
      <c r="C11" s="15"/>
      <c r="D11" s="15"/>
    </row>
    <row r="13" spans="2:4">
      <c r="B13" s="4" t="s">
        <v>62</v>
      </c>
    </row>
    <row r="14" spans="2:4">
      <c r="B14" s="14" t="s">
        <v>63</v>
      </c>
      <c r="C14" s="14"/>
      <c r="D14" s="14"/>
    </row>
    <row r="15" spans="2:4">
      <c r="B15" s="14"/>
      <c r="C15" s="14"/>
      <c r="D15" s="14"/>
    </row>
    <row r="16" spans="2:4">
      <c r="B16" s="14"/>
      <c r="C16" s="14"/>
      <c r="D16" s="14"/>
    </row>
  </sheetData>
  <mergeCells count="2">
    <mergeCell ref="B9:D11"/>
    <mergeCell ref="B14:D16"/>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dimension ref="B2:E19"/>
  <sheetViews>
    <sheetView workbookViewId="0"/>
  </sheetViews>
  <sheetFormatPr defaultRowHeight="15"/>
  <cols>
    <col min="1" max="1" width="2.7109375" customWidth="1"/>
    <col min="2" max="2" width="24.7109375" customWidth="1"/>
    <col min="3" max="5" width="17.7109375" customWidth="1"/>
  </cols>
  <sheetData>
    <row r="2" spans="2:5">
      <c r="B2" s="1" t="s">
        <v>64</v>
      </c>
    </row>
    <row r="3" spans="2:5">
      <c r="B3" s="2" t="s">
        <v>65</v>
      </c>
    </row>
    <row r="5" spans="2:5">
      <c r="B5" s="8" t="s">
        <v>10</v>
      </c>
      <c r="C5" s="8" t="s">
        <v>11</v>
      </c>
      <c r="D5" s="8" t="s">
        <v>45</v>
      </c>
      <c r="E5" s="8" t="s">
        <v>12</v>
      </c>
    </row>
    <row r="6" spans="2:5">
      <c r="B6" s="9" t="s">
        <v>13</v>
      </c>
      <c r="C6" s="10">
        <v>2512000</v>
      </c>
      <c r="D6" s="10">
        <v>2399000</v>
      </c>
      <c r="E6" s="10">
        <v>113000</v>
      </c>
    </row>
    <row r="7" spans="2:5">
      <c r="B7" s="9" t="s">
        <v>18</v>
      </c>
      <c r="C7" s="10">
        <v>1743300</v>
      </c>
      <c r="D7" s="10">
        <v>1645700</v>
      </c>
      <c r="E7" s="10">
        <v>97600</v>
      </c>
    </row>
    <row r="8" spans="2:5">
      <c r="B8" s="16" t="s">
        <v>6</v>
      </c>
      <c r="C8" s="17">
        <v>768700</v>
      </c>
      <c r="D8" s="17">
        <v>753300</v>
      </c>
      <c r="E8" s="17">
        <v>15400</v>
      </c>
    </row>
    <row r="9" spans="2:5">
      <c r="B9" s="9" t="s">
        <v>21</v>
      </c>
      <c r="C9" s="13">
        <v>0.306</v>
      </c>
      <c r="D9" s="13">
        <v>0.314</v>
      </c>
      <c r="E9" s="9" t="s">
        <v>22</v>
      </c>
    </row>
    <row r="11" spans="2:5">
      <c r="B11" s="4" t="s">
        <v>66</v>
      </c>
    </row>
    <row r="12" spans="2:5">
      <c r="B12" s="8" t="s">
        <v>28</v>
      </c>
      <c r="C12" s="8" t="s">
        <v>21</v>
      </c>
    </row>
    <row r="13" spans="2:5">
      <c r="B13" s="9" t="s">
        <v>33</v>
      </c>
      <c r="C13" s="13">
        <v>0.316</v>
      </c>
    </row>
    <row r="14" spans="2:5">
      <c r="B14" s="9" t="s">
        <v>34</v>
      </c>
      <c r="C14" s="13">
        <v>0.315</v>
      </c>
    </row>
    <row r="15" spans="2:5">
      <c r="B15" s="9" t="s">
        <v>35</v>
      </c>
      <c r="C15" s="13">
        <v>0.314</v>
      </c>
    </row>
    <row r="16" spans="2:5">
      <c r="B16" s="9" t="s">
        <v>36</v>
      </c>
      <c r="C16" s="13">
        <v>0.31</v>
      </c>
    </row>
    <row r="17" spans="2:3">
      <c r="B17" s="9" t="s">
        <v>37</v>
      </c>
      <c r="C17" s="13">
        <v>0.304</v>
      </c>
    </row>
    <row r="18" spans="2:3">
      <c r="B18" s="9" t="s">
        <v>38</v>
      </c>
      <c r="C18" s="13">
        <v>0.299</v>
      </c>
    </row>
    <row r="19" spans="2:3">
      <c r="B19" s="9" t="s">
        <v>39</v>
      </c>
      <c r="C19" s="13">
        <v>0.294</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dimension ref="B2:E13"/>
  <sheetViews>
    <sheetView workbookViewId="0"/>
  </sheetViews>
  <sheetFormatPr defaultRowHeight="15"/>
  <cols>
    <col min="1" max="1" width="2.7109375" customWidth="1"/>
    <col min="2" max="2" width="26.7109375" customWidth="1"/>
    <col min="3" max="5" width="18.7109375" customWidth="1"/>
  </cols>
  <sheetData>
    <row r="2" spans="2:5">
      <c r="B2" s="1" t="s">
        <v>67</v>
      </c>
    </row>
    <row r="3" spans="2:5">
      <c r="B3" s="2" t="s">
        <v>68</v>
      </c>
    </row>
    <row r="5" spans="2:5">
      <c r="B5" s="8" t="s">
        <v>10</v>
      </c>
      <c r="C5" s="8" t="s">
        <v>11</v>
      </c>
      <c r="D5" s="8" t="s">
        <v>12</v>
      </c>
      <c r="E5" s="8" t="s">
        <v>69</v>
      </c>
    </row>
    <row r="6" spans="2:5">
      <c r="B6" s="9" t="s">
        <v>19</v>
      </c>
      <c r="C6" s="10">
        <v>147300</v>
      </c>
      <c r="D6" s="11">
        <v>0.184</v>
      </c>
      <c r="E6" s="13">
        <v>0.059</v>
      </c>
    </row>
    <row r="7" spans="2:5">
      <c r="B7" s="9" t="s">
        <v>20</v>
      </c>
      <c r="C7" s="10">
        <v>61900</v>
      </c>
      <c r="D7" s="11">
        <v>0.092</v>
      </c>
      <c r="E7" s="13">
        <v>0.025</v>
      </c>
    </row>
    <row r="8" spans="2:5">
      <c r="B8" s="16" t="s">
        <v>70</v>
      </c>
      <c r="C8" s="17">
        <v>209200</v>
      </c>
      <c r="D8" s="16"/>
      <c r="E8" s="18">
        <v>0.083</v>
      </c>
    </row>
    <row r="10" spans="2:5">
      <c r="B10" s="4" t="s">
        <v>71</v>
      </c>
    </row>
    <row r="11" spans="2:5">
      <c r="B11" s="14" t="s">
        <v>72</v>
      </c>
      <c r="C11" s="14"/>
      <c r="D11" s="14"/>
      <c r="E11" s="14"/>
    </row>
    <row r="12" spans="2:5">
      <c r="B12" s="14"/>
      <c r="C12" s="14"/>
      <c r="D12" s="14"/>
      <c r="E12" s="14"/>
    </row>
    <row r="13" spans="2:5">
      <c r="B13" s="14"/>
      <c r="C13" s="14"/>
      <c r="D13" s="14"/>
      <c r="E13" s="14"/>
    </row>
  </sheetData>
  <mergeCells count="1">
    <mergeCell ref="B11:E13"/>
  </mergeCell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B2:I23"/>
  <sheetViews>
    <sheetView workbookViewId="0"/>
  </sheetViews>
  <sheetFormatPr defaultRowHeight="15"/>
  <cols>
    <col min="1" max="1" width="2.7109375" customWidth="1"/>
    <col min="2" max="2" width="16.7109375" customWidth="1"/>
    <col min="3" max="9" width="15.7109375" customWidth="1"/>
  </cols>
  <sheetData>
    <row r="2" spans="2:9">
      <c r="B2" s="1" t="s">
        <v>73</v>
      </c>
    </row>
    <row r="3" spans="2:9">
      <c r="B3" s="2" t="s">
        <v>74</v>
      </c>
    </row>
    <row r="5" spans="2:9">
      <c r="B5" s="8" t="s">
        <v>75</v>
      </c>
      <c r="C5" s="8" t="s">
        <v>13</v>
      </c>
      <c r="D5" s="8" t="s">
        <v>76</v>
      </c>
      <c r="E5" s="8" t="s">
        <v>77</v>
      </c>
      <c r="F5" s="8" t="s">
        <v>12</v>
      </c>
      <c r="G5" s="8" t="s">
        <v>29</v>
      </c>
      <c r="H5" s="8" t="s">
        <v>31</v>
      </c>
      <c r="I5" s="8" t="s">
        <v>21</v>
      </c>
    </row>
    <row r="6" spans="2:9">
      <c r="B6" s="9" t="s">
        <v>78</v>
      </c>
      <c r="C6" s="10">
        <v>742000</v>
      </c>
      <c r="D6" s="13">
        <v>0.295</v>
      </c>
      <c r="E6" s="13">
        <v>0.295</v>
      </c>
      <c r="F6" s="11">
        <v>0.081</v>
      </c>
      <c r="G6" s="10">
        <v>13910</v>
      </c>
      <c r="H6" s="10">
        <v>178</v>
      </c>
      <c r="I6" s="13">
        <v>0.318</v>
      </c>
    </row>
    <row r="7" spans="2:9">
      <c r="B7" s="9" t="s">
        <v>79</v>
      </c>
      <c r="C7" s="10">
        <v>618000</v>
      </c>
      <c r="D7" s="13">
        <v>0.246</v>
      </c>
      <c r="E7" s="13">
        <v>0.541</v>
      </c>
      <c r="F7" s="11">
        <v>0.064</v>
      </c>
      <c r="G7" s="10">
        <v>11760</v>
      </c>
      <c r="H7" s="10">
        <v>171</v>
      </c>
      <c r="I7" s="13">
        <v>0.311</v>
      </c>
    </row>
    <row r="8" spans="2:9">
      <c r="B8" s="9" t="s">
        <v>80</v>
      </c>
      <c r="C8" s="10">
        <v>424000</v>
      </c>
      <c r="D8" s="13">
        <v>0.169</v>
      </c>
      <c r="E8" s="13">
        <v>0.71</v>
      </c>
      <c r="F8" s="11">
        <v>0.032</v>
      </c>
      <c r="G8" s="10">
        <v>8240</v>
      </c>
      <c r="H8" s="10">
        <v>163</v>
      </c>
      <c r="I8" s="13">
        <v>0.304</v>
      </c>
    </row>
    <row r="9" spans="2:9">
      <c r="B9" s="9" t="s">
        <v>81</v>
      </c>
      <c r="C9" s="10">
        <v>311000</v>
      </c>
      <c r="D9" s="13">
        <v>0.124</v>
      </c>
      <c r="E9" s="13">
        <v>0.834</v>
      </c>
      <c r="F9" s="11">
        <v>0.011</v>
      </c>
      <c r="G9" s="10">
        <v>6180</v>
      </c>
      <c r="H9" s="10">
        <v>154</v>
      </c>
      <c r="I9" s="13">
        <v>0.298</v>
      </c>
    </row>
    <row r="10" spans="2:9">
      <c r="B10" s="9" t="s">
        <v>82</v>
      </c>
      <c r="C10" s="10">
        <v>228000</v>
      </c>
      <c r="D10" s="13">
        <v>0.091</v>
      </c>
      <c r="E10" s="13">
        <v>0.925</v>
      </c>
      <c r="F10" s="11">
        <v>-0.024</v>
      </c>
      <c r="G10" s="10">
        <v>4610</v>
      </c>
      <c r="H10" s="10">
        <v>149</v>
      </c>
      <c r="I10" s="13">
        <v>0.289</v>
      </c>
    </row>
    <row r="11" spans="2:9">
      <c r="B11" s="9" t="s">
        <v>83</v>
      </c>
      <c r="C11" s="10">
        <v>189000</v>
      </c>
      <c r="D11" s="13">
        <v>0.075</v>
      </c>
      <c r="E11" s="13">
        <v>1</v>
      </c>
      <c r="F11" s="11">
        <v>-0.057</v>
      </c>
      <c r="G11" s="10">
        <v>3610</v>
      </c>
      <c r="H11" s="10">
        <v>143</v>
      </c>
      <c r="I11" s="13">
        <v>0.276</v>
      </c>
    </row>
    <row r="12" spans="2:9">
      <c r="B12" s="16" t="s">
        <v>84</v>
      </c>
      <c r="C12" s="17">
        <v>2512000</v>
      </c>
      <c r="D12" s="18">
        <v>1</v>
      </c>
      <c r="E12" s="16"/>
      <c r="F12" s="18">
        <v>0.047</v>
      </c>
      <c r="G12" s="17">
        <v>48310</v>
      </c>
      <c r="H12" s="17">
        <v>165</v>
      </c>
      <c r="I12" s="18">
        <v>0.306</v>
      </c>
    </row>
    <row r="15" spans="2:9">
      <c r="B15" s="4" t="s">
        <v>85</v>
      </c>
    </row>
    <row r="16" spans="2:9">
      <c r="B16" s="14" t="s">
        <v>86</v>
      </c>
      <c r="C16" s="14"/>
      <c r="D16" s="14"/>
      <c r="E16" s="14"/>
      <c r="F16" s="14"/>
      <c r="G16" s="14"/>
      <c r="H16" s="14"/>
      <c r="I16" s="14"/>
    </row>
    <row r="17" spans="2:9">
      <c r="B17" s="14"/>
      <c r="C17" s="14"/>
      <c r="D17" s="14"/>
      <c r="E17" s="14"/>
      <c r="F17" s="14"/>
      <c r="G17" s="14"/>
      <c r="H17" s="14"/>
      <c r="I17" s="14"/>
    </row>
    <row r="18" spans="2:9">
      <c r="B18" s="14"/>
      <c r="C18" s="14"/>
      <c r="D18" s="14"/>
      <c r="E18" s="14"/>
      <c r="F18" s="14"/>
      <c r="G18" s="14"/>
      <c r="H18" s="14"/>
      <c r="I18" s="14"/>
    </row>
    <row r="20" spans="2:9">
      <c r="B20" s="4" t="s">
        <v>87</v>
      </c>
    </row>
    <row r="21" spans="2:9">
      <c r="B21" s="14" t="s">
        <v>88</v>
      </c>
      <c r="C21" s="14"/>
      <c r="D21" s="14"/>
      <c r="E21" s="14"/>
      <c r="F21" s="14"/>
      <c r="G21" s="14"/>
      <c r="H21" s="14"/>
      <c r="I21" s="14"/>
    </row>
    <row r="22" spans="2:9">
      <c r="B22" s="14"/>
      <c r="C22" s="14"/>
      <c r="D22" s="14"/>
      <c r="E22" s="14"/>
      <c r="F22" s="14"/>
      <c r="G22" s="14"/>
      <c r="H22" s="14"/>
      <c r="I22" s="14"/>
    </row>
    <row r="23" spans="2:9">
      <c r="B23" s="14"/>
      <c r="C23" s="14"/>
      <c r="D23" s="14"/>
      <c r="E23" s="14"/>
      <c r="F23" s="14"/>
      <c r="G23" s="14"/>
      <c r="H23" s="14"/>
      <c r="I23" s="14"/>
    </row>
  </sheetData>
  <mergeCells count="2">
    <mergeCell ref="B16:I18"/>
    <mergeCell ref="B21:I23"/>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dimension ref="B2:E11"/>
  <sheetViews>
    <sheetView workbookViewId="0"/>
  </sheetViews>
  <sheetFormatPr defaultRowHeight="15"/>
  <cols>
    <col min="1" max="1" width="2.7109375" customWidth="1"/>
    <col min="2" max="2" width="30.7109375" customWidth="1"/>
    <col min="3" max="3" width="62.7109375" customWidth="1"/>
    <col min="4" max="4" width="18.7109375" customWidth="1"/>
    <col min="5" max="5" width="40.7109375" customWidth="1"/>
  </cols>
  <sheetData>
    <row r="2" spans="2:5">
      <c r="B2" s="1" t="s">
        <v>89</v>
      </c>
    </row>
    <row r="3" spans="2:5">
      <c r="B3" s="2" t="s">
        <v>90</v>
      </c>
    </row>
    <row r="5" spans="2:5">
      <c r="B5" s="8" t="s">
        <v>91</v>
      </c>
      <c r="C5" s="8" t="s">
        <v>92</v>
      </c>
      <c r="D5" s="8" t="s">
        <v>93</v>
      </c>
      <c r="E5" s="8" t="s">
        <v>94</v>
      </c>
    </row>
    <row r="6" spans="2:5" ht="62" customHeight="1">
      <c r="B6" s="19" t="s">
        <v>95</v>
      </c>
      <c r="C6" s="19" t="s">
        <v>96</v>
      </c>
      <c r="D6" s="19" t="s">
        <v>97</v>
      </c>
      <c r="E6" s="19" t="s">
        <v>98</v>
      </c>
    </row>
    <row r="7" spans="2:5" ht="62" customHeight="1">
      <c r="B7" s="19" t="s">
        <v>99</v>
      </c>
      <c r="C7" s="19" t="s">
        <v>100</v>
      </c>
      <c r="D7" s="19" t="s">
        <v>97</v>
      </c>
      <c r="E7" s="19" t="s">
        <v>101</v>
      </c>
    </row>
    <row r="9" spans="2:5">
      <c r="B9" s="4" t="s">
        <v>102</v>
      </c>
    </row>
    <row r="10" spans="2:5">
      <c r="B10" s="8" t="s">
        <v>10</v>
      </c>
      <c r="C10" s="8" t="s">
        <v>103</v>
      </c>
    </row>
    <row r="11" spans="2:5" ht="32" customHeight="1">
      <c r="B11" s="19" t="s">
        <v>104</v>
      </c>
      <c r="C11" s="19" t="s">
        <v>105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dimension ref="B2:G26"/>
  <sheetViews>
    <sheetView rightToLeft="1" workbookViewId="0"/>
  </sheetViews>
  <sheetFormatPr defaultRowHeight="15"/>
  <cols>
    <col min="1" max="1" width="2.7109375" customWidth="1"/>
    <col min="2" max="2" width="30.7109375" customWidth="1"/>
    <col min="3" max="7" width="15.7109375" customWidth="1"/>
  </cols>
  <sheetData>
    <row r="2" spans="2:7">
      <c r="B2" s="20" t="s">
        <v>106</v>
      </c>
    </row>
    <row r="3" spans="2:7">
      <c r="B3" s="21" t="s">
        <v>107</v>
      </c>
    </row>
    <row r="5" spans="2:7">
      <c r="B5" s="21" t="s">
        <v>108</v>
      </c>
      <c r="C5" s="21"/>
      <c r="D5" s="21"/>
      <c r="E5" s="21"/>
      <c r="F5" s="21"/>
      <c r="G5" s="21"/>
    </row>
    <row r="6" spans="2:7">
      <c r="B6" s="21"/>
      <c r="C6" s="21"/>
      <c r="D6" s="21"/>
      <c r="E6" s="21"/>
      <c r="F6" s="21"/>
      <c r="G6" s="21"/>
    </row>
    <row r="7" spans="2:7">
      <c r="B7" s="21"/>
      <c r="C7" s="21"/>
      <c r="D7" s="21"/>
      <c r="E7" s="21"/>
      <c r="F7" s="21"/>
      <c r="G7" s="21"/>
    </row>
    <row r="8" spans="2:7">
      <c r="B8" s="21"/>
      <c r="C8" s="21"/>
      <c r="D8" s="21"/>
      <c r="E8" s="21"/>
      <c r="F8" s="21"/>
      <c r="G8" s="21"/>
    </row>
    <row r="9" spans="2:7">
      <c r="B9" s="21"/>
      <c r="C9" s="21"/>
      <c r="D9" s="21"/>
      <c r="E9" s="21"/>
      <c r="F9" s="21"/>
      <c r="G9" s="21"/>
    </row>
    <row r="11" spans="2:7">
      <c r="B11" s="20" t="s">
        <v>109</v>
      </c>
    </row>
    <row r="12" spans="2:7">
      <c r="B12" s="8" t="s">
        <v>110</v>
      </c>
      <c r="C12" s="8" t="s">
        <v>111</v>
      </c>
      <c r="D12" s="8" t="s">
        <v>112</v>
      </c>
    </row>
    <row r="13" spans="2:7">
      <c r="B13" s="21" t="s">
        <v>113</v>
      </c>
      <c r="C13" s="10">
        <v>2512000</v>
      </c>
      <c r="D13" s="11">
        <v>0.047</v>
      </c>
    </row>
    <row r="14" spans="2:7">
      <c r="B14" s="21" t="s">
        <v>114</v>
      </c>
      <c r="C14" s="10">
        <v>48310</v>
      </c>
      <c r="D14" s="11">
        <v>-0.021</v>
      </c>
    </row>
    <row r="15" spans="2:7">
      <c r="B15" s="21" t="s">
        <v>115</v>
      </c>
      <c r="C15" s="10">
        <v>15204</v>
      </c>
      <c r="D15" s="11">
        <v>0.008</v>
      </c>
    </row>
    <row r="16" spans="2:7">
      <c r="B16" s="21" t="s">
        <v>116</v>
      </c>
      <c r="C16" s="10">
        <v>165</v>
      </c>
      <c r="D16" s="11">
        <v>0.039</v>
      </c>
    </row>
    <row r="17" spans="2:7">
      <c r="B17" s="21" t="s">
        <v>117</v>
      </c>
      <c r="C17" s="12">
        <v>52</v>
      </c>
      <c r="D17" s="11">
        <v>0.06900000000000001</v>
      </c>
    </row>
    <row r="18" spans="2:7">
      <c r="B18" s="21" t="s">
        <v>118</v>
      </c>
      <c r="C18" s="10">
        <v>1743300</v>
      </c>
      <c r="D18" s="11">
        <v>0.059</v>
      </c>
    </row>
    <row r="19" spans="2:7">
      <c r="B19" s="21" t="s">
        <v>119</v>
      </c>
      <c r="C19" s="10">
        <v>768700</v>
      </c>
      <c r="D19" s="11">
        <v>0.021</v>
      </c>
    </row>
    <row r="20" spans="2:7">
      <c r="B20" s="21" t="s">
        <v>120</v>
      </c>
      <c r="C20" s="10">
        <v>147300</v>
      </c>
      <c r="D20" s="11">
        <v>0.184</v>
      </c>
    </row>
    <row r="21" spans="2:7">
      <c r="B21" s="21" t="s">
        <v>121</v>
      </c>
      <c r="C21" s="10">
        <v>61900</v>
      </c>
      <c r="D21" s="11">
        <v>0.092</v>
      </c>
    </row>
    <row r="22" spans="2:7">
      <c r="B22" s="21" t="s">
        <v>122</v>
      </c>
      <c r="C22" s="13">
        <v>0.306</v>
      </c>
      <c r="D22" s="21" t="s">
        <v>123</v>
      </c>
    </row>
    <row r="24" spans="2:7">
      <c r="B24" s="21" t="s">
        <v>124</v>
      </c>
      <c r="C24" s="21"/>
      <c r="D24" s="21"/>
      <c r="E24" s="21"/>
      <c r="F24" s="21"/>
      <c r="G24" s="21"/>
    </row>
    <row r="25" spans="2:7">
      <c r="B25" s="21"/>
      <c r="C25" s="21"/>
      <c r="D25" s="21"/>
      <c r="E25" s="21"/>
      <c r="F25" s="21"/>
      <c r="G25" s="21"/>
    </row>
    <row r="26" spans="2:7">
      <c r="B26" s="21"/>
      <c r="C26" s="21"/>
      <c r="D26" s="21"/>
      <c r="E26" s="21"/>
      <c r="F26" s="21"/>
      <c r="G26" s="21"/>
    </row>
  </sheetData>
  <mergeCells count="2">
    <mergeCell ref="B5:G9"/>
    <mergeCell ref="B24:G26"/>
  </mergeCells>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K8"/>
  <sheetViews>
    <sheetView workbookViewId="0"/>
  </sheetViews>
  <sheetFormatPr defaultRowHeight="15"/>
  <sheetData>
    <row r="1" spans="1:11">
      <c r="A1" s="22" t="s">
        <v>125</v>
      </c>
      <c r="B1" s="22" t="s">
        <v>126</v>
      </c>
      <c r="D1" s="22" t="s">
        <v>127</v>
      </c>
      <c r="E1" s="22" t="s">
        <v>128</v>
      </c>
      <c r="G1" s="22" t="s">
        <v>125</v>
      </c>
      <c r="H1" s="22" t="s">
        <v>132</v>
      </c>
      <c r="J1" s="22" t="s">
        <v>133</v>
      </c>
      <c r="K1" s="22" t="s">
        <v>134</v>
      </c>
    </row>
    <row r="2" spans="1:11">
      <c r="A2" t="s">
        <v>33</v>
      </c>
      <c r="B2">
        <v>318000</v>
      </c>
      <c r="D2" t="s">
        <v>129</v>
      </c>
      <c r="E2">
        <v>164000</v>
      </c>
      <c r="G2" t="s">
        <v>33</v>
      </c>
      <c r="H2">
        <v>0.316</v>
      </c>
      <c r="J2" t="s">
        <v>78</v>
      </c>
      <c r="K2">
        <v>0.295</v>
      </c>
    </row>
    <row r="3" spans="1:11">
      <c r="A3" t="s">
        <v>34</v>
      </c>
      <c r="B3">
        <v>331000</v>
      </c>
      <c r="D3" t="s">
        <v>130</v>
      </c>
      <c r="E3">
        <v>-51000</v>
      </c>
      <c r="G3" t="s">
        <v>34</v>
      </c>
      <c r="H3">
        <v>0.315</v>
      </c>
      <c r="J3" t="s">
        <v>79</v>
      </c>
      <c r="K3">
        <v>0.541</v>
      </c>
    </row>
    <row r="4" spans="1:11">
      <c r="A4" t="s">
        <v>35</v>
      </c>
      <c r="B4">
        <v>356000</v>
      </c>
      <c r="D4" t="s">
        <v>131</v>
      </c>
      <c r="E4">
        <v>113000</v>
      </c>
      <c r="G4" t="s">
        <v>35</v>
      </c>
      <c r="H4">
        <v>0.314</v>
      </c>
      <c r="J4" t="s">
        <v>80</v>
      </c>
      <c r="K4">
        <v>0.71</v>
      </c>
    </row>
    <row r="5" spans="1:11">
      <c r="A5" t="s">
        <v>36</v>
      </c>
      <c r="B5">
        <v>344000</v>
      </c>
      <c r="G5" t="s">
        <v>36</v>
      </c>
      <c r="H5">
        <v>0.31</v>
      </c>
      <c r="J5" t="s">
        <v>81</v>
      </c>
      <c r="K5">
        <v>0.834</v>
      </c>
    </row>
    <row r="6" spans="1:11">
      <c r="A6" t="s">
        <v>37</v>
      </c>
      <c r="B6">
        <v>372000</v>
      </c>
      <c r="G6" t="s">
        <v>37</v>
      </c>
      <c r="H6">
        <v>0.304</v>
      </c>
      <c r="J6" t="s">
        <v>82</v>
      </c>
      <c r="K6">
        <v>0.925</v>
      </c>
    </row>
    <row r="7" spans="1:11">
      <c r="A7" t="s">
        <v>38</v>
      </c>
      <c r="B7">
        <v>388000</v>
      </c>
      <c r="G7" t="s">
        <v>38</v>
      </c>
      <c r="H7">
        <v>0.299</v>
      </c>
      <c r="J7" t="s">
        <v>83</v>
      </c>
      <c r="K7">
        <v>1</v>
      </c>
    </row>
    <row r="8" spans="1:11">
      <c r="A8" t="s">
        <v>39</v>
      </c>
      <c r="B8">
        <v>403000</v>
      </c>
      <c r="G8" t="s">
        <v>39</v>
      </c>
      <c r="H8">
        <v>0.294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B2:G30"/>
  <sheetViews>
    <sheetView workbookViewId="0"/>
  </sheetViews>
  <sheetFormatPr defaultRowHeight="15"/>
  <cols>
    <col min="1" max="1" width="2.7109375" customWidth="1"/>
    <col min="2" max="2" width="20.7109375" customWidth="1"/>
    <col min="3" max="3" width="12.7109375" customWidth="1"/>
    <col min="4" max="4" width="34.7109375" customWidth="1"/>
    <col min="5" max="9" width="18.7109375" customWidth="1"/>
  </cols>
  <sheetData>
    <row r="2" spans="2:7">
      <c r="B2" s="1" t="s">
        <v>135</v>
      </c>
    </row>
    <row r="3" spans="2:7">
      <c r="B3" s="2" t="s">
        <v>136</v>
      </c>
    </row>
    <row r="5" spans="2:7">
      <c r="B5" s="4" t="s">
        <v>137</v>
      </c>
    </row>
    <row r="6" spans="2:7">
      <c r="B6" s="8" t="s">
        <v>138</v>
      </c>
      <c r="C6" s="8" t="s">
        <v>139</v>
      </c>
      <c r="D6" s="8" t="s">
        <v>140</v>
      </c>
    </row>
    <row r="7" spans="2:7">
      <c r="B7" s="22" t="s">
        <v>141</v>
      </c>
      <c r="C7" s="22" t="s">
        <v>142</v>
      </c>
      <c r="D7" s="22"/>
    </row>
    <row r="8" spans="2:7">
      <c r="B8" s="22" t="s">
        <v>143</v>
      </c>
      <c r="C8" s="22" t="s">
        <v>142</v>
      </c>
      <c r="D8" s="22"/>
    </row>
    <row r="9" spans="2:7">
      <c r="B9" s="22" t="s">
        <v>144</v>
      </c>
      <c r="C9" s="22" t="s">
        <v>142</v>
      </c>
      <c r="D9" s="22"/>
    </row>
    <row r="10" spans="2:7">
      <c r="B10" s="22" t="s">
        <v>145</v>
      </c>
      <c r="C10" s="22" t="s">
        <v>142</v>
      </c>
      <c r="D10" s="22"/>
    </row>
    <row r="11" spans="2:7">
      <c r="B11" s="22" t="s">
        <v>146</v>
      </c>
      <c r="C11" s="22" t="s">
        <v>147</v>
      </c>
      <c r="D11" s="22" t="s">
        <v>148</v>
      </c>
    </row>
    <row r="13" spans="2:7">
      <c r="B13" s="4" t="s">
        <v>149</v>
      </c>
    </row>
    <row r="14" spans="2:7">
      <c r="B14" s="8" t="s">
        <v>150</v>
      </c>
      <c r="C14" s="8" t="s">
        <v>151</v>
      </c>
      <c r="D14" s="8" t="s">
        <v>152</v>
      </c>
      <c r="E14" s="8" t="s">
        <v>153</v>
      </c>
      <c r="F14" s="8" t="s">
        <v>154</v>
      </c>
      <c r="G14" s="8" t="s">
        <v>155</v>
      </c>
    </row>
    <row r="15" spans="2:7">
      <c r="B15" s="22" t="s">
        <v>156</v>
      </c>
      <c r="C15" s="22" t="s">
        <v>126</v>
      </c>
      <c r="D15" s="22" t="s">
        <v>157</v>
      </c>
      <c r="E15" s="22" t="s">
        <v>158</v>
      </c>
      <c r="F15" s="22" t="s">
        <v>159</v>
      </c>
      <c r="G15" s="22" t="s">
        <v>160</v>
      </c>
    </row>
    <row r="16" spans="2:7">
      <c r="B16" s="22" t="s">
        <v>161</v>
      </c>
      <c r="C16" s="22" t="s">
        <v>162</v>
      </c>
      <c r="D16" s="22" t="s">
        <v>157</v>
      </c>
      <c r="E16" s="22" t="s">
        <v>163</v>
      </c>
      <c r="F16" s="22" t="s">
        <v>164</v>
      </c>
      <c r="G16" s="22" t="s">
        <v>165</v>
      </c>
    </row>
    <row r="17" spans="2:7">
      <c r="B17" s="22" t="s">
        <v>166</v>
      </c>
      <c r="C17" s="22" t="s">
        <v>167</v>
      </c>
      <c r="D17" s="22" t="s">
        <v>157</v>
      </c>
      <c r="E17" s="22" t="s">
        <v>163</v>
      </c>
      <c r="F17" s="22" t="s">
        <v>168</v>
      </c>
      <c r="G17" s="22" t="s">
        <v>169</v>
      </c>
    </row>
    <row r="18" spans="2:7">
      <c r="B18" s="22" t="s">
        <v>170</v>
      </c>
      <c r="C18" s="22" t="s">
        <v>171</v>
      </c>
      <c r="D18" s="22" t="s">
        <v>172</v>
      </c>
      <c r="E18" s="22" t="s">
        <v>158</v>
      </c>
      <c r="F18" s="22" t="s">
        <v>173</v>
      </c>
      <c r="G18" s="22" t="s">
        <v>174</v>
      </c>
    </row>
    <row r="19" spans="2:7">
      <c r="B19" s="22" t="s">
        <v>175</v>
      </c>
      <c r="C19" s="22" t="s">
        <v>176</v>
      </c>
      <c r="D19" s="22" t="s">
        <v>172</v>
      </c>
      <c r="E19" s="22" t="s">
        <v>158</v>
      </c>
      <c r="F19" s="22" t="s">
        <v>177</v>
      </c>
      <c r="G19" s="22" t="s">
        <v>178</v>
      </c>
    </row>
    <row r="20" spans="2:7">
      <c r="B20" s="22" t="s">
        <v>179</v>
      </c>
      <c r="C20" s="22" t="s">
        <v>180</v>
      </c>
      <c r="D20" s="22" t="s">
        <v>157</v>
      </c>
      <c r="E20" s="22" t="s">
        <v>158</v>
      </c>
      <c r="F20" s="22" t="s">
        <v>181</v>
      </c>
      <c r="G20" s="22" t="s">
        <v>182</v>
      </c>
    </row>
    <row r="21" spans="2:7">
      <c r="B21" s="22" t="s">
        <v>183</v>
      </c>
      <c r="C21" s="22" t="s">
        <v>184</v>
      </c>
      <c r="D21" s="22" t="s">
        <v>157</v>
      </c>
      <c r="E21" s="22" t="s">
        <v>158</v>
      </c>
      <c r="F21" s="22" t="s">
        <v>185</v>
      </c>
      <c r="G21" s="22" t="s">
        <v>186</v>
      </c>
    </row>
    <row r="22" spans="2:7">
      <c r="B22" s="22" t="s">
        <v>187</v>
      </c>
      <c r="C22" s="22" t="s">
        <v>188</v>
      </c>
      <c r="D22" s="22" t="s">
        <v>172</v>
      </c>
      <c r="E22" s="22" t="s">
        <v>189</v>
      </c>
      <c r="F22" s="22" t="s">
        <v>190</v>
      </c>
      <c r="G22" s="22" t="s">
        <v>191</v>
      </c>
    </row>
    <row r="23" spans="2:7">
      <c r="B23" s="22" t="s">
        <v>192</v>
      </c>
      <c r="C23" s="22" t="s">
        <v>193</v>
      </c>
      <c r="D23" s="22" t="s">
        <v>157</v>
      </c>
      <c r="E23" s="22" t="s">
        <v>158</v>
      </c>
      <c r="F23" s="22" t="s">
        <v>194</v>
      </c>
      <c r="G23" s="22" t="s">
        <v>195</v>
      </c>
    </row>
    <row r="24" spans="2:7">
      <c r="B24" s="22" t="s">
        <v>196</v>
      </c>
      <c r="C24" s="22" t="s">
        <v>197</v>
      </c>
      <c r="D24" s="22" t="s">
        <v>157</v>
      </c>
      <c r="E24" s="22" t="s">
        <v>158</v>
      </c>
      <c r="F24" s="22" t="s">
        <v>198</v>
      </c>
      <c r="G24" s="22" t="s">
        <v>199</v>
      </c>
    </row>
    <row r="25" spans="2:7">
      <c r="B25" s="22" t="s">
        <v>200</v>
      </c>
      <c r="C25" s="22" t="s">
        <v>201</v>
      </c>
      <c r="D25" s="22" t="s">
        <v>157</v>
      </c>
      <c r="E25" s="22" t="s">
        <v>158</v>
      </c>
      <c r="F25" s="22" t="s">
        <v>202</v>
      </c>
      <c r="G25" s="22" t="s">
        <v>203</v>
      </c>
    </row>
    <row r="26" spans="2:7">
      <c r="B26" s="22" t="s">
        <v>204</v>
      </c>
      <c r="C26" s="22" t="s">
        <v>205</v>
      </c>
      <c r="D26" s="22" t="s">
        <v>157</v>
      </c>
      <c r="E26" s="22" t="s">
        <v>158</v>
      </c>
      <c r="F26" s="22" t="s">
        <v>206</v>
      </c>
      <c r="G26" s="22" t="s">
        <v>207</v>
      </c>
    </row>
    <row r="28" spans="2:7">
      <c r="B28" s="4" t="s">
        <v>208</v>
      </c>
    </row>
    <row r="29" spans="2:7">
      <c r="B29" s="8" t="s">
        <v>209</v>
      </c>
      <c r="C29" s="8" t="s">
        <v>210</v>
      </c>
      <c r="D29" s="8" t="s">
        <v>211</v>
      </c>
    </row>
    <row r="30" spans="2:7">
      <c r="B30" s="22" t="s">
        <v>212</v>
      </c>
      <c r="C30" s="22" t="s">
        <v>144</v>
      </c>
      <c r="D30" s="19" t="s">
        <v>213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B2:C15"/>
  <sheetViews>
    <sheetView workbookViewId="0"/>
  </sheetViews>
  <sheetFormatPr defaultRowHeight="15"/>
  <cols>
    <col min="1" max="1" width="2.7109375" customWidth="1"/>
    <col min="2" max="2" width="28.7109375" customWidth="1"/>
    <col min="3" max="3" width="52.7109375" customWidth="1"/>
  </cols>
  <sheetData>
    <row r="2" spans="2:3">
      <c r="B2" s="1" t="s">
        <v>214</v>
      </c>
    </row>
    <row r="3" spans="2:3">
      <c r="B3" s="2" t="s">
        <v>215</v>
      </c>
    </row>
    <row r="5" spans="2:3">
      <c r="B5" s="8" t="s">
        <v>216</v>
      </c>
      <c r="C5" s="8" t="s">
        <v>154</v>
      </c>
    </row>
    <row r="6" spans="2:3">
      <c r="B6" s="22" t="s">
        <v>217</v>
      </c>
      <c r="C6" s="22" t="s">
        <v>218</v>
      </c>
    </row>
    <row r="7" spans="2:3">
      <c r="B7" s="22" t="s">
        <v>219</v>
      </c>
      <c r="C7" s="22" t="s">
        <v>220</v>
      </c>
    </row>
    <row r="8" spans="2:3">
      <c r="B8" s="22" t="s">
        <v>221</v>
      </c>
      <c r="C8" s="22" t="s">
        <v>222</v>
      </c>
    </row>
    <row r="9" spans="2:3">
      <c r="B9" s="22" t="s">
        <v>223</v>
      </c>
      <c r="C9" s="22" t="s">
        <v>224</v>
      </c>
    </row>
    <row r="10" spans="2:3">
      <c r="B10" s="22" t="s">
        <v>225</v>
      </c>
      <c r="C10" s="22" t="s">
        <v>226</v>
      </c>
    </row>
    <row r="11" spans="2:3">
      <c r="B11" s="22" t="s">
        <v>227</v>
      </c>
      <c r="C11" s="22" t="s">
        <v>228</v>
      </c>
    </row>
    <row r="12" spans="2:3">
      <c r="B12" s="22" t="s">
        <v>229</v>
      </c>
      <c r="C12" s="22" t="s">
        <v>230</v>
      </c>
    </row>
    <row r="13" spans="2:3">
      <c r="B13" s="22" t="s">
        <v>231</v>
      </c>
      <c r="C13" s="22" t="s">
        <v>232</v>
      </c>
    </row>
    <row r="14" spans="2:3">
      <c r="B14" s="22" t="s">
        <v>233</v>
      </c>
      <c r="C14" s="22" t="s">
        <v>164</v>
      </c>
    </row>
    <row r="15" spans="2:3">
      <c r="B15" s="22" t="s">
        <v>234</v>
      </c>
      <c r="C15" s="22" t="s">
        <v>235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Executive Summary (English)</vt:lpstr>
      <vt:lpstr>Sales Performance (English)</vt:lpstr>
      <vt:lpstr>Period Comparison (English)</vt:lpstr>
      <vt:lpstr>Growth Drivers (English)</vt:lpstr>
      <vt:lpstr>Profitability (English)</vt:lpstr>
      <vt:lpstr>Discounts and Returns (English)</vt:lpstr>
      <vt:lpstr>Branch Performance (English)</vt:lpstr>
      <vt:lpstr>Data Limitations (English)</vt:lpstr>
      <vt:lpstr>الملخص التنفيذي (العربية)</vt:lpstr>
      <vt:lpstr>Chart Data (English)</vt:lpstr>
      <vt:lpstr>Audit Trail</vt:lpstr>
      <vt:lpstr>Provenance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2026-08-04T13:13:46Z</dcterms:created>
  <dcterms:modified xsi:type="dcterms:W3CDTF">2026-08-04T13:13:46Z</dcterms:modified>
</cp:coreProperties>
</file>